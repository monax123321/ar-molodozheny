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s:workbook xmlns:s="http://schemas.openxmlformats.org/spreadsheetml/2006/main" xmlns:r="http://schemas.openxmlformats.org/officeDocument/2006/relationships" xmlns:unk1="http://schemas.microsoft.com/office/spreadsheetml/2010/11/main" xmlns:mc="http://schemas.openxmlformats.org/markup-compatibility/2006" mc:Ignorable="unk1">
  <s:fileVersion appName="xl" lastEdited="6" lowestEdited="6" rupBuild="14420"/>
  <s:workbookPr/>
  <s:bookViews>
    <s:workbookView xWindow="0" yWindow="0" windowWidth="28800" windowHeight="12315"/>
  </s:bookViews>
  <s:sheets>
    <s:sheet name="Смета ОЗ" sheetId="1" state="visible" r:id="rId1"/>
    <s:sheet name="04 Заявка" sheetId="2" state="visible" r:id="rId2"/>
  </s:sheets>
  <s:calcPr calcId="152511"/>
</s:workbook>
</file>

<file path=xl/sharedStrings.xml><?xml version="1.0" encoding="utf-8"?>
<s:sst xmlns:s="http://schemas.openxmlformats.org/spreadsheetml/2006/main" count="618" uniqueCount="195">
  <s:si>
    <s:t xml:space="preserve"> ГБУК г. Москвы  "Театр На Малой Бронной"</s:t>
  </s:si>
  <s:si>
    <s:t>Смета овеществленных затрат на постановку спектакля "Молодожены"</s:t>
  </s:si>
  <s:si>
    <s:t>№ элемента по монтирововчной описи</s:t>
  </s:si>
  <s:si>
    <s:t>Наименование изделия (в соответствии с монтировочной описью).Краткая характеристика изделия</s:t>
  </s:si>
  <s:si>
    <s:t>Расчет стоимости материалов</s:t>
  </s:si>
  <s:si>
    <s:t>Расчет стоимости рабочей силы (Среднемесячное количество рабочих часов в 2026 году 164, 3 часа.)</s:t>
  </s:si>
  <s:si>
    <s:t>Отчисления в фонды (30,2 % от стоимости рабочей силы)- руб.</s:t>
  </s:si>
  <s:si>
    <s:t>Накладные расходы (200% от стоимости р/с + отчисления в фонды (руб.)</s:t>
  </s:si>
  <s:si>
    <s:t>ВСЕГО СТОИМОСТЬ ИЗДЕЛИЯ ( руб.)</s:t>
  </s:si>
  <s:si>
    <s:t>Наименование материала</s:t>
  </s:si>
  <s:si>
    <s:t>ГОСТ, артикул</s:t>
  </s:si>
  <s:si>
    <s:t>Ед. Измерения</s:t>
  </s:si>
  <s:si>
    <s:t>Количество</s:t>
  </s:si>
  <s:si>
    <s:t>Цена в руб.</s:t>
  </s:si>
  <s:si>
    <s:t>Сумма в руб.</s:t>
  </s:si>
  <s:si>
    <s:t>Наименование должности</s:t>
  </s:si>
  <s:si>
    <s:t>Среднемесячная зарплата (руб.)</s:t>
  </s:si>
  <s:si>
    <s:t>Стоимость 1 часа (в руб.)</s:t>
  </s:si>
  <s:si>
    <s:t>Кол - во часов, необходимое для изготовления</s:t>
  </s:si>
  <s:si>
    <s:t>Стоимость рабочей силы (руб.)</s:t>
  </s:si>
  <s:si>
    <s:t>8 = 6 х 7</s:t>
  </s:si>
  <s:si>
    <s:t>11 =  10/164,3</s:t>
  </s:si>
  <s:si>
    <s:t>13 = 11 х 12</s:t>
  </s:si>
  <s:si>
    <s:t>14=13x0.302</s:t>
  </s:si>
  <s:si>
    <s:t>15=(13+14)x 200%</s:t>
  </s:si>
  <s:si>
    <s:t>16 = 8 + 13 + 14 + 15</s:t>
  </s:si>
  <s:si>
    <s:t>1-1</s:t>
  </s:si>
  <s:si>
    <s:t>Настил выносного станка (лайтбокс)</s:t>
  </s:si>
  <s:si>
    <s:t>Алюминиевый профиль 40х20х2мм</s:t>
  </s:si>
  <s:si>
    <s:t>АД31Т1 ГОСТ 18475-82, ГОСТ 18482-79</s:t>
  </s:si>
  <s:si>
    <s:t>м.п.</s:t>
  </s:si>
  <s:si>
    <s:t>Слесарь</s:t>
  </s:si>
  <s:si>
    <s:t>Поликарбонат молочный 15 мм</s:t>
  </s:si>
  <s:si>
    <s:t>Арт 1362679785</s:t>
  </s:si>
  <s:si>
    <s:t>м²</s:t>
  </s:si>
  <s:si>
    <s:t>Светодиодная лента RGB</s:t>
  </s:si>
  <s:si>
    <s:t>АРТ ARL-ORION-R07-12V</s:t>
  </s:si>
  <s:si>
    <s:t>шт</s:t>
  </s:si>
  <s:si>
    <s:t>Электромонтер</s:t>
  </s:si>
  <s:si>
    <s:t>Светодиодная лента белая</s:t>
  </s:si>
  <s:si>
    <s:t>АРТ CRAFT-2835-1-12V</s:t>
  </s:si>
  <s:si>
    <s:t>DMX декодер</s:t>
  </s:si>
  <s:si>
    <s:t>АРТ DMX-DEC-24V</s:t>
  </s:si>
  <s:si>
    <s:t>Контроллер DMX</s:t>
  </s:si>
  <s:si>
    <s:t>АРТ DMX-CTRL</s:t>
  </s:si>
  <s:si>
    <s:t>Блок питания 12В 500W</s:t>
  </s:si>
  <s:si>
    <s:t>АРТ PSU-12V-500W</s:t>
  </s:si>
  <s:si>
    <s:t>Кабель DMX NOVACORD</s:t>
  </s:si>
  <s:si>
    <s:t>АРТ NOVACORD-DMX-100</s:t>
  </s:si>
  <s:si>
    <s:t>м</s:t>
  </s:si>
  <s:si>
    <s:t>Кабель силовой H07RN-F 2.5</s:t>
  </s:si>
  <s:si>
    <s:t>АРТ TOP-CABLE-XTREM-2.5</s:t>
  </s:si>
  <s:si>
    <s:t>Разъемы XLR NEUTRIK</s:t>
  </s:si>
  <s:si>
    <s:t>АРТ NEUTRIK-XLR-BLACK</s:t>
  </s:si>
  <s:si>
    <s:t>пара</s:t>
  </s:si>
  <s:si>
    <s:t>ИТОГО:</s:t>
  </s:si>
  <s:si>
    <s:t>2-1</s:t>
  </s:si>
  <s:si>
    <s:t>Портальные стенки и потолок</s:t>
  </s:si>
  <s:si>
    <s:t>Алюминиевый профиль каркас 40х20х2мм</s:t>
  </s:si>
  <s:si>
    <s:t>ГОСТ 18475-82, ГОСТ 18482-79</s:t>
  </s:si>
  <s:si>
    <s:t>Фанера березовая 12 мм</s:t>
  </s:si>
  <s:si>
    <s:t>ГОСТ 3916.1-96</s:t>
  </s:si>
  <s:si>
    <s:t>Столяр</s:t>
  </s:si>
  <s:si>
    <s:t>Краска матовая черная</s:t>
  </s:si>
  <s:si>
    <s:t>ТУ 2316-012-45340957-95</s:t>
  </s:si>
  <s:si>
    <s:t>л</s:t>
  </s:si>
  <s:si>
    <s:t>Бутафор</s:t>
  </s:si>
  <s:si>
    <s:t>Крепеж (болты, гайки, шайбы)</s:t>
  </s:si>
  <s:si>
    <s:t>ГОСТ 17473-80, ГОСТ 11371-78</s:t>
  </s:si>
  <s:si>
    <s:t>комплект</s:t>
  </s:si>
  <s:si>
    <s:t>3-1</s:t>
  </s:si>
  <s:si>
    <s:t>Стенка фронтальная задняя (лайтбокс)</s:t>
  </s:si>
  <s:si>
    <s:t>Светопроницаемая ткань с печатью</s:t>
  </s:si>
  <s:si>
    <s:t>АРТ 00000018457</s:t>
  </s:si>
  <s:si>
    <s:t>Блок питания 12В 1000W</s:t>
  </s:si>
  <s:si>
    <s:t>АРТ PSU-12V-1000W</s:t>
  </s:si>
  <s:si>
    <s:t>Кабель силовой H07RN-F 4.0</s:t>
  </s:si>
  <s:si>
    <s:t>АРТ TOP-CABLE-XTREM-4</s:t>
  </s:si>
  <s:si>
    <s:t>Светорассеивающий материал молочный</s:t>
  </s:si>
  <s:si>
    <s:t>АРТ OPAL-DIFFUSER-3mm</s:t>
  </s:si>
  <s:si>
    <s:t>4-1</s:t>
  </s:si>
  <s:si>
    <s:t>Афиша (лайтбокс) на подвесе</s:t>
  </s:si>
  <s:si>
    <s:t>Тросы стальные подвеса</s:t>
  </s:si>
  <s:si>
    <s:t>ГОСТ 3064-80</s:t>
  </s:si>
  <s:si>
    <s:t>Карабины подвеса</s:t>
  </s:si>
  <s:si>
    <s:t>ТУ 4550-005-00149074-96</s:t>
  </s:si>
  <s:si>
    <s:t>5-1</s:t>
  </s:si>
  <s:si>
    <s:t>Хранение и транспортировка (каркас, роликоопоры)</s:t>
  </s:si>
  <s:si>
    <s:t>Металлопрофиль каркас 40х20х2мм</s:t>
  </s:si>
  <s:si>
    <s:t>ГОСТ 11368-78</s:t>
  </s:si>
  <s:si>
    <s:t>Сварщик</s:t>
  </s:si>
  <s:si>
    <s:t>Роликоопоры поворотные со стопорами</s:t>
  </s:si>
  <s:si>
    <s:t>Мягкие проставки поролон 10 мм</s:t>
  </s:si>
  <s:si>
    <s:t>ТУ 5959-017-00205126-96</s:t>
  </s:si>
  <s:si>
    <s:t>Крепеж и такелаж</s:t>
  </s:si>
  <s:si>
    <s:t>ГОСТ 17473-80, ГОСТ 3064-80</s:t>
  </s:si>
  <s:si>
    <s:t>6-1</s:t>
  </s:si>
  <s:si>
    <s:t>Диван зелёный</s:t>
  </s:si>
  <s:si>
    <s:t>покупка по договору</s:t>
  </s:si>
  <s:si>
    <s:t>6-2</s:t>
  </s:si>
  <s:si>
    <s:t>Диван жёлтый</s:t>
  </s:si>
  <s:si>
    <s:t>6-3</s:t>
  </s:si>
  <s:si>
    <s:t>Стол квадратный с деревянным подстольем</s:t>
  </s:si>
  <s:si>
    <s:t>Стол квадратный</s:t>
  </s:si>
  <s:si>
    <s:t>6-4</s:t>
  </s:si>
  <s:si>
    <s:t>Стул зелёный</s:t>
  </s:si>
  <s:si>
    <s:t>6-5</s:t>
  </s:si>
  <s:si>
    <s:t>Стул оранжевый</s:t>
  </s:si>
  <s:si>
    <s:t>6-6</s:t>
  </s:si>
  <s:si>
    <s:t>Стул жёлтый</s:t>
  </s:si>
  <s:si>
    <s:t>6-7</s:t>
  </s:si>
  <s:si>
    <s:t>Стул розовый</s:t>
  </s:si>
  <s:si>
    <s:t>6-8</s:t>
  </s:si>
  <s:si>
    <s:t>Стул голубой</s:t>
  </s:si>
  <s:si>
    <s:t>6-9</s:t>
  </s:si>
  <s:si>
    <s:t>Урна садовая красная</s:t>
  </s:si>
  <s:si>
    <s:t>Урна садовая красная (покупка + окрас)</s:t>
  </s:si>
  <s:si>
    <s:t>ё</s:t>
  </s:si>
  <s:si>
    <s:t>7-1</s:t>
  </s:si>
  <s:si>
    <s:t>Дополнительные элементы (раус, портальные экраны)</s:t>
  </s:si>
  <s:si>
    <s:t>Сукно черное</s:t>
  </s:si>
  <s:si>
    <s:t>арт. 10014390</s:t>
  </s:si>
  <s:si>
    <s:t>пог.м</s:t>
  </s:si>
  <s:si>
    <s:t>Труба профильная 20x20</s:t>
  </s:si>
  <s:si>
    <s:t>ГОСТ 13663-86</s:t>
  </s:si>
  <s:si>
    <s:t>Фанера 6 мм</s:t>
  </s:si>
  <s:si>
    <s:t>лист</s:t>
  </s:si>
  <s:si>
    <s:t>8-1</s:t>
  </s:si>
  <s:si>
    <s:t>Шерсть камвольная 280 г/м²</s:t>
  </s:si>
  <s:si>
    <s:t>ГОСТ 28141-2014</s:t>
  </s:si>
  <s:si>
    <s:t>Вискозная подкладка</s:t>
  </s:si>
  <s:si>
    <s:t>Потайная молния 60 см</s:t>
  </s:si>
  <s:si>
    <s:t>ГОСТ 17473-80</s:t>
  </s:si>
  <s:si>
    <s:t>шт.</s:t>
  </s:si>
  <s:si>
    <s:t>Нитки швейные</s:t>
  </s:si>
  <s:si>
    <s:t>ГОСТ 6309-93</s:t>
  </s:si>
  <s:si>
    <s:t>Швея</s:t>
  </s:si>
  <s:si>
    <s:t>8-2</s:t>
  </s:si>
  <s:si>
    <s:t>Бирюзовый костюм (гэг) для Егора / Жени</s:t>
  </s:si>
  <s:si>
    <s:t>Шерсть+полиэстер (лёгкий блеск)</s:t>
  </s:si>
  <s:si>
    <s:t>Клеевая прокладка</s:t>
  </s:si>
  <s:si>
    <s:t>Пуговицы перламутровые</s:t>
  </s:si>
  <s:si>
    <s:t>8-3</s:t>
  </s:si>
  <s:si>
    <s:t>Платье-футляр для Фисы</s:t>
  </s:si>
  <s:si>
    <s:t>Хлопок, ситец</s:t>
  </s:si>
  <s:si>
    <s:t>Потайная молния</s:t>
  </s:si>
  <s:si>
    <s:t>8-4</s:t>
  </s:si>
  <s:si>
    <s:t>Твидовый пиджак + водолазка для Ивана Каплина</s:t>
  </s:si>
  <s:si>
    <s:t>Твид шерстяной меланж</s:t>
  </s:si>
  <s:si>
    <s:t>Трикотаж кашкорсе</s:t>
  </s:si>
  <s:si>
    <s:t>Кожа для заплаток</s:t>
  </s:si>
  <s:si>
    <s:t>Пуговицы роговые</s:t>
  </s:si>
  <s:si>
    <s:t>8-5</s:t>
  </s:si>
  <s:si>
    <s:t>Платье-трапеция для Сани Веткиной</s:t>
  </s:si>
  <s:si>
    <s:t>Кримплен</s:t>
  </s:si>
  <s:si>
    <s:t>8-6</s:t>
  </s:si>
  <s:si>
    <s:t>Платье-трапеция для Зины</s:t>
  </s:si>
  <s:si>
    <s:t>Хлопок, мягкая шерсть</s:t>
  </s:si>
  <s:si>
    <s:t>Тесьма для петель</s:t>
  </s:si>
  <s:si>
    <s:t>8-7</s:t>
  </s:si>
  <s:si>
    <s:t>Накидка из искусственного меха для Вавочки</s:t>
  </s:si>
  <s:si>
    <s:t>Искусственный мех леопард</s:t>
  </s:si>
  <s:si>
    <s:t>Подкладка сатин</s:t>
  </s:si>
  <s:si>
    <s:t>Брошь-застёжка</s:t>
  </s:si>
  <s:si>
    <s:t>8-8</s:t>
  </s:si>
  <s:si>
    <s:t>Светлый костюм для Томаза Чебукиани</s:t>
  </s:si>
  <s:si>
    <s:t>Лёгкая шерсть</s:t>
  </s:si>
  <s:si>
    <s:t>Подкладка вискозная</s:t>
  </s:si>
  <s:si>
    <s:t>Пуговицы</s:t>
  </s:si>
  <s:si>
    <s:t>8-9</s:t>
  </s:si>
  <s:si>
    <s:t>Обувь для персонажей (Оксфорды, туфли, балетки, кеды)</s:t>
  </s:si>
  <s:si>
    <s:t>Кожа для обуви</s:t>
  </s:si>
  <s:si>
    <s:t>Подошва (комплект)</s:t>
  </s:si>
  <s:si>
    <s:t>Фурнитура обувная (набойки, шнурки)</s:t>
  </s:si>
  <s:si>
    <s:t>компл.</s:t>
  </s:si>
  <s:si>
    <s:t>Сапожник</s:t>
  </s:si>
  <s:si>
    <s:t>Итого:</s:t>
  </s:si>
  <s:si>
    <s:t>По костюмам</s:t>
  </s:si>
  <s:si>
    <s:t>ВСЕГО по спектаклю:</s:t>
  </s:si>
  <s:si>
    <s: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Заведующий художественно-постановочной частью  ______________________(ф.И.О.)</s:t>
  </s:si>
  <s:si>
    <s:t>Заявка на приобретение материалов для спектакля "Молодожены"</s:t>
  </s:si>
  <s:si>
    <s:t>цена в руб.</s:t>
  </s:si>
  <s:si>
    <s:t>Сумма в руб</s:t>
  </s:si>
  <s:si>
    <s:t>Всего по материалам:</s:t>
  </s:si>
  <s:si>
    <s:t>Покупки:</s:t>
  </s:si>
  <s:si>
    <s:t>ВСЕГО ПО СПЕКТАКЛЮ:</s:t>
  </s:si>
  <s:si>
    <s:t>Составил:</s:t>
  </s:si>
  <s:si>
    <s:t>Заведующий художественно-постановочной частью</s:t>
  </s:si>
  <s:si>
    <s:t>Петров П.П.</s:t>
  </s:si>
  <s:si>
    <s:t>Получил:</s:t>
  </s:si>
  <s:si>
    <s:t>Начальник отдела материально-технического обеспечения</s:t>
  </s:si>
  <s:si>
    <s:t>Иванов И.И.</s:t>
  </s:si>
  <s:si>
    <s:t>"_____"__________20___г.</s:t>
  </s:si>
  <s:si>
    <s:t>Таблица №4</s:t>
  </s:si>
  <s:si>
    <s:t>Таблица №3</s:t>
  </s:si>
</s:sst>
</file>

<file path=xl/styles.xml><?xml version="1.0" encoding="utf-8"?>
<s:styleSheet xmlns:x14ac="http://schemas.microsoft.com/office/spreadsheetml/2009/9/ac" xmlns:x14="http://schemas.microsoft.com/office/spreadsheetml/2009/9/main" xmlns:unk1="http://schemas.microsoft.com/office/spreadsheetml/2010/11/main" xmlns:mc="http://schemas.openxmlformats.org/markup-compatibility/2006" xmlns:vyd="http://volga.yandex.com/schemas/document/model" xmlns:s="http://schemas.openxmlformats.org/spreadsheetml/2006/main" mc:Ignorable="x14ac">
  <s:numFmts count="0"/>
  <s:fonts x14ac:knownFonts="1" count="14">
    <s:font>
      <s:name val="Calibri"/>
      <s:family val="2"/>
      <s:color theme="1"/>
      <s:sz val="11"/>
      <s:scheme val="minor"/>
    </s:font>
    <s:font>
      <s:name val="Calibri"/>
      <s:charset val="204"/>
      <s:family val="2"/>
      <s:b val="1"/>
      <s:sz val="12"/>
    </s:font>
    <s:font>
      <s:name val="Calibri"/>
      <s:charset val="204"/>
      <s:family val="2"/>
      <s:b val="1"/>
      <s:sz val="11"/>
    </s:font>
    <s:font>
      <s:name val="Adobe Heiti Std R"/>
      <s:charset val="128"/>
      <s:family val="2"/>
      <s:color theme="1"/>
      <s:sz val="11"/>
    </s:font>
    <s:font>
      <s:name val="Adobe Heiti Std R"/>
      <s:charset val="128"/>
      <s:family val="2"/>
      <s:b val="1"/>
      <s:sz val="11"/>
    </s:font>
    <s:font>
      <s:name val="Calibri"/>
      <s:charset val="204"/>
      <s:family val="2"/>
      <s:b val="1"/>
      <s:sz val="11"/>
    </s:font>
    <s:font>
      <s:name val="Adobe Heiti Std R"/>
      <s:charset val="128"/>
      <s:family val="2"/>
      <s:color theme="1"/>
      <s:sz val="22"/>
    </s:font>
    <s:font>
      <s:name val="Calibri"/>
      <s:charset val="204"/>
      <s:family val="2"/>
      <s:b val="1"/>
      <s:sz val="14"/>
    </s:font>
    <s:font>
      <s:name val="Calibri"/>
      <s:charset val="204"/>
      <s:family val="2"/>
      <s:b val="1"/>
      <s:color theme="1"/>
      <s:sz val="14"/>
      <s:scheme val="minor"/>
    </s:font>
    <s:font>
      <s:name val="Calibri"/>
      <s:charset val="204"/>
      <s:family val="2"/>
      <s:color theme="1"/>
      <s:sz val="12"/>
      <s:scheme val="minor"/>
    </s:font>
    <s:font>
      <s:name val="Calibri"/>
      <s:charset val="204"/>
      <s:family val="2"/>
      <s:b val="1"/>
      <s:i val="1"/>
      <s:sz val="12"/>
    </s:font>
    <s:font>
      <s:name val="Calibri"/>
      <s:charset val="204"/>
      <s:family val="2"/>
      <s:b val="1"/>
      <s:color theme="1"/>
      <s:sz val="12"/>
      <s:scheme val="minor"/>
    </s:font>
    <s:font>
      <s:name val="Calibri"/>
      <s:charset val="204"/>
      <s:family val="2"/>
      <s:sz val="11"/>
      <s:scheme val="minor"/>
    </s:font>
    <s:font>
      <s:name val="Calibri"/>
      <s:family val="2"/>
      <s:sz val="11"/>
      <s:scheme val="minor"/>
    </s:font>
  </s:fonts>
  <s:fills count="5">
    <s:fill>
      <s:patternFill patternType="none"/>
    </s:fill>
    <s:fill>
      <s:patternFill patternType="gray125"/>
    </s:fill>
    <s:fill>
      <s:patternFill patternType="solid">
        <s:fgColor theme="0"/>
        <s:bgColor indexed="64"/>
      </s:patternFill>
    </s:fill>
    <s:fill>
      <s:patternFill patternType="solid">
        <s:fgColor theme="6"/>
        <s:bgColor indexed="64"/>
      </s:patternFill>
    </s:fill>
    <s:fill>
      <s:patternFill patternType="solid">
        <s:fgColor theme="0" tint="-0.25"/>
        <s:bgColor indexed="64"/>
      </s:patternFill>
    </s:fill>
  </s:fills>
  <s:borders count="2">
    <s:border>
      <s:left/>
      <s:right/>
      <s:top/>
      <s:bottom/>
      <s:diagonal/>
    </s:border>
    <s:border>
      <s:left style="thin">
        <s:color indexed="64"/>
      </s:left>
      <s:right style="thin">
        <s:color indexed="64"/>
      </s:right>
      <s:top style="thin">
        <s:color indexed="64"/>
      </s:top>
      <s:bottom style="thin">
        <s:color indexed="64"/>
      </s:bottom>
      <s:diagonal/>
    </s:border>
  </s:borders>
  <s:cellStyleXfs count="1">
    <s:xf numFmtId="0" fontId="0" fillId="0" borderId="0"/>
  </s:cellStyleXfs>
  <s:cellXfs count="57">
    <s:xf numFmtId="0" fontId="0" fillId="0" borderId="0" xfId="0"/>
    <s:xf numFmtId="0" fontId="0" fillId="0" borderId="0" xfId="0"/>
    <s:xf numFmtId="4" fontId="0" fillId="2" borderId="1" xfId="0" applyNumberFormat="1" applyFill="1" applyBorder="1"/>
    <s:xf numFmtId="4" fontId="0" fillId="0" borderId="1" xfId="0" applyNumberFormat="1" applyBorder="1"/>
    <s:xf numFmtId="4" fontId="0" fillId="2" borderId="0" xfId="0" applyNumberFormat="1" applyFill="1"/>
    <s:xf numFmtId="4" fontId="0" fillId="2" borderId="0" xfId="0" applyNumberFormat="1" applyFill="1" applyAlignment="1">
      <s:alignment horizontal="center" mc:Ignorable="vyd"/>
    </s:xf>
    <s:xf numFmtId="4" fontId="7" fillId="2" borderId="1" xfId="0" applyNumberFormat="1" applyFont="1" applyFill="1" applyBorder="1"/>
    <s:xf numFmtId="4" fontId="8" fillId="2" borderId="1" xfId="0" applyNumberFormat="1" applyFont="1" applyFill="1" applyBorder="1"/>
    <s:xf numFmtId="3" fontId="0" fillId="2" borderId="1" xfId="0" applyNumberFormat="1" applyFill="1" applyBorder="1"/>
    <s:xf numFmtId="3" fontId="7" fillId="2" borderId="1" xfId="0" applyNumberFormat="1" applyFont="1" applyFill="1" applyBorder="1"/>
    <s:xf numFmtId="3" fontId="8" fillId="2" borderId="1" xfId="0" applyNumberFormat="1" applyFont="1" applyFill="1" applyBorder="1"/>
    <s:xf numFmtId="4" fontId="12" fillId="2" borderId="1" xfId="0" applyNumberFormat="1" applyFont="1" applyFill="1" applyBorder="1"/>
    <s:xf numFmtId="4" fontId="12" fillId="2" borderId="0" xfId="0" applyNumberFormat="1" applyFont="1" applyFill="1"/>
    <s:xf numFmtId="0" fontId="0" fillId="3" borderId="0" xfId="0" applyFill="1"/>
    <s:xf numFmtId="4" fontId="0" fillId="0" borderId="0" xfId="0" applyNumberFormat="1"/>
    <s:xf numFmtId="3" fontId="0" fillId="0" borderId="0" xfId="0" applyNumberFormat="1"/>
    <s:xf numFmtId="4" fontId="10" fillId="2" borderId="0" xfId="0" applyNumberFormat="1" applyFont="1" applyFill="1" applyAlignment="1">
      <s:alignment horizontal="center" mc:Ignorable="vyd"/>
    </s:xf>
    <s:xf numFmtId="4" fontId="9" fillId="2" borderId="1" xfId="0" applyNumberFormat="1" applyFont="1" applyFill="1" applyBorder="1"/>
    <s:xf numFmtId="4" fontId="0" fillId="3" borderId="0" xfId="0" applyNumberFormat="1" applyFill="1"/>
    <s:xf numFmtId="0" fontId="0" fillId="2" borderId="0" xfId="0" applyFill="1"/>
    <s:xf numFmtId="4" fontId="13" fillId="3" borderId="0" xfId="0" applyNumberFormat="1" applyFont="1" applyFill="1"/>
    <s:xf numFmtId="4" fontId="2" fillId="4" borderId="1" xfId="0" applyNumberFormat="1" applyFont="1" applyFill="1" applyBorder="1" applyAlignment="1">
      <s:alignment horizontal="center" vertical="center" wrapText="1" mc:Ignorable="vyd"/>
    </s:xf>
    <s:xf numFmtId="0" fontId="0" fillId="0" borderId="1" xfId="0" applyBorder="1"/>
    <s:xf numFmtId="0" fontId="0" fillId="4" borderId="1" xfId="0" applyFill="1" applyBorder="1" applyAlignment="1">
      <s:alignment horizontal="center" mc:Ignorable="vyd"/>
    </s:xf>
    <s:xf numFmtId="4" fontId="0" fillId="4" borderId="1" xfId="0" applyNumberFormat="1" applyFill="1" applyBorder="1"/>
    <s:xf numFmtId="4" fontId="2" fillId="4" borderId="1" xfId="0" applyNumberFormat="1" applyFont="1" applyFill="1" applyBorder="1"/>
    <s:xf numFmtId="4" fontId="2" fillId="3" borderId="1" xfId="0" applyNumberFormat="1" applyFont="1" applyFill="1" applyBorder="1"/>
    <s:xf numFmtId="4" fontId="12" fillId="3" borderId="1" xfId="0" applyNumberFormat="1" applyFont="1" applyFill="1" applyBorder="1"/>
    <s:xf numFmtId="4" fontId="0" fillId="3" borderId="1" xfId="0" applyNumberFormat="1" applyFill="1" applyBorder="1"/>
    <s:xf numFmtId="0" fontId="0" fillId="3" borderId="1" xfId="0" applyFill="1" applyBorder="1"/>
    <s:xf numFmtId="4" fontId="13" fillId="3" borderId="1" xfId="0" applyNumberFormat="1" applyFont="1" applyFill="1" applyBorder="1"/>
    <s:xf numFmtId="4" fontId="9" fillId="2" borderId="1" xfId="0" applyNumberFormat="1" applyFont="1" applyFill="1" applyBorder="1" applyAlignment="1">
      <s:alignment horizontal="left" vertical="center" wrapText="1" mc:Ignorable="vyd"/>
    </s:xf>
    <s:xf numFmtId="4" fontId="9" fillId="2" borderId="1" xfId="0" applyNumberFormat="1" applyFont="1" applyFill="1" applyBorder="1" applyAlignment="1">
      <s:alignment horizontal="center" vertical="center" mc:Ignorable="vyd"/>
    </s:xf>
    <s:xf numFmtId="4" fontId="2" fillId="3" borderId="0" xfId="0" applyNumberFormat="1" applyFont="1" applyFill="1"/>
    <s:xf numFmtId="4" fontId="0" fillId="3" borderId="0" xfId="0" applyNumberFormat="1" applyFill="1"/>
    <s:xf numFmtId="4" fontId="5" fillId="3" borderId="0" xfId="0" applyNumberFormat="1" applyFont="1" applyFill="1"/>
    <s:xf numFmtId="1" fontId="1" fillId="2" borderId="1" xfId="0" applyNumberFormat="1" applyFont="1" applyFill="1" applyBorder="1" applyAlignment="1">
      <s:alignment horizontal="center" vertical="center" wrapText="1" mc:Ignorable="vyd"/>
    </s:xf>
    <s:xf numFmtId="1" fontId="0" fillId="0" borderId="1" xfId="0" applyNumberFormat="1" applyBorder="1"/>
    <s:xf numFmtId="1" fontId="1" fillId="2" borderId="1" xfId="0" applyNumberFormat="1" applyFont="1" applyFill="1" applyBorder="1" applyAlignment="1">
      <s:alignment horizontal="center" vertical="center" wrapText="1" mc:Ignorable="vyd"/>
    </s:xf>
    <s:xf numFmtId="1" fontId="10" fillId="2" borderId="1" xfId="0" applyNumberFormat="1" applyFont="1" applyFill="1" applyBorder="1" applyAlignment="1">
      <s:alignment horizontal="center" mc:Ignorable="vyd"/>
    </s:xf>
    <s:xf numFmtId="1" fontId="9" fillId="2" borderId="1" xfId="0" applyNumberFormat="1" applyFont="1" applyFill="1" applyBorder="1" applyAlignment="1">
      <s:alignment horizontal="center" vertical="center" mc:Ignorable="vyd"/>
    </s:xf>
    <s:xf numFmtId="1" fontId="9" fillId="2" borderId="1" xfId="0" applyNumberFormat="1" applyFont="1" applyFill="1" applyBorder="1" applyAlignment="1">
      <s:alignment horizontal="left" vertical="center" wrapText="1" mc:Ignorable="vyd"/>
    </s:xf>
    <s:xf numFmtId="1" fontId="9" fillId="2" borderId="1" xfId="0" applyNumberFormat="1" applyFont="1" applyFill="1" applyBorder="1"/>
    <s:xf numFmtId="4" fontId="0" fillId="2" borderId="0" xfId="0" applyNumberFormat="1" applyFont="1" applyFill="1"/>
    <s:xf numFmtId="1" fontId="0" fillId="2" borderId="1" xfId="0" applyNumberFormat="1" applyFill="1" applyBorder="1"/>
    <s:xf numFmtId="1" fontId="1" fillId="2" borderId="1" xfId="0" applyNumberFormat="1" applyFont="1" applyFill="1" applyBorder="1"/>
    <s:xf numFmtId="0" fontId="0" fillId="2" borderId="1" xfId="0" applyFill="1" applyBorder="1"/>
    <s:xf numFmtId="4" fontId="1" fillId="2" borderId="1" xfId="0" applyNumberFormat="1" applyFont="1" applyFill="1" applyBorder="1"/>
    <s:xf numFmtId="4" fontId="11" fillId="2" borderId="1" xfId="0" applyNumberFormat="1" applyFont="1" applyFill="1" applyBorder="1"/>
    <s:xf numFmtId="1" fontId="0" fillId="3" borderId="1" xfId="0" applyNumberFormat="1" applyFill="1" applyBorder="1"/>
    <s:xf numFmtId="1" fontId="3" fillId="3" borderId="1" xfId="0" applyNumberFormat="1" applyFont="1" applyFill="1" applyBorder="1" applyAlignment="1">
      <s:alignment wrapText="1" mc:Ignorable="vyd"/>
    </s:xf>
    <s:xf numFmtId="1" fontId="6" fillId="3" borderId="1" xfId="0" applyNumberFormat="1" applyFont="1" applyFill="1" applyBorder="1"/>
    <s:xf numFmtId="1" fontId="6" fillId="3" borderId="1" xfId="0" applyNumberFormat="1" applyFont="1" applyFill="1" applyBorder="1" applyAlignment="1">
      <s:alignment wrapText="1" mc:Ignorable="vyd"/>
    </s:xf>
    <s:xf numFmtId="1" fontId="7" fillId="3" borderId="1" xfId="0" applyNumberFormat="1" applyFont="1" applyFill="1" applyBorder="1" applyAlignment="1">
      <s:alignment horizontal="center" mc:Ignorable="vyd"/>
    </s:xf>
    <s:xf numFmtId="1" fontId="0" fillId="2" borderId="1" xfId="0" applyNumberFormat="1" applyFill="1" applyBorder="1"/>
    <s:xf numFmtId="1" fontId="4" fillId="3" borderId="1" xfId="0" applyNumberFormat="1" applyFont="1" applyFill="1" applyBorder="1" applyAlignment="1">
      <s:alignment horizontal="center" wrapText="1" mc:Ignorable="vyd"/>
    </s:xf>
    <s:xf numFmtId="1" fontId="2" fillId="2" borderId="1" xfId="0" applyNumberFormat="1" applyFont="1" applyFill="1" applyBorder="1"/>
  </s:cellXfs>
  <s:cellStyles count="1">
    <s:cellStyle name="Обычный" xfId="0" builtinId="0"/>
  </s:cellStyles>
  <s:dxfs count="0"/>
  <s:tableStyles count="0" defaultTableStyle="TableStyleMedium9" defaultPivotStyle="PivotStyleLight16"/>
  <s:extLst>
    <s:ext uri="{EB79DEF2-80B8-43e5-95BD-54CBDDF9020C}">
      <x14:slicerStyles defaultSlicerStyle="SlicerStyleLight1"/>
    </s:ext>
    <s:ext uri="{9260A510-F301-46a8-8635-F512D64BE5F5}">
      <unk1:timelineStyles defaultTimelineStyle="TimeSlicerStyleLight1"/>
    </s:ext>
  </s:extLst>
</s:styleSheet>
</file>

<file path=xl/_rels/workbook.xml.rels><?xml version="1.0" ?><Relationships xmlns="http://schemas.openxmlformats.org/package/2006/relationships"><Relationship Id="rId5" Type="http://schemas.openxmlformats.org/officeDocument/2006/relationships/sharedStrings" Target="sharedStrings.xml"/><Relationship Id="rId3" Type="http://schemas.openxmlformats.org/officeDocument/2006/relationships/styles" Target="styles.xml"/><Relationship Target="theme/theme1.xml" Type="http://schemas.openxmlformats.org/officeDocument/2006/relationships/theme" Id="rId4"/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Uigh" typeface="Microsoft Uighur"/>
      </a:majorFont>
      <a:minorFont>
        <a:latin typeface="Calibri"/>
        <a:ea typeface=""/>
        <a:cs typeface="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4999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?>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s:worksheet xmlns: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:dimension ref="A1:X177"/>
  <s:sheetViews>
    <s:sheetView tabSelected="0" zoomScale="86" zoomScaleNormal="85" workbookViewId="0">
      <s:selection activeCell="H151" sqref="H151"/>
    </s:sheetView>
  </s:sheetViews>
  <s:sheetFormatPr x14ac:dyDescent="0.25" defaultColWidth="10" defaultRowHeight="15"/>
  <s:cols>
    <s:col min="1" max="1" width="8" style="14" customWidth="1"/>
    <s:col min="2" max="2" width="25" style="14" customWidth="1"/>
    <s:col min="3" max="3" width="40.426" style="14" customWidth="1"/>
    <s:col min="4" max="4" width="15" style="14" customWidth="1"/>
    <s:col min="5" max="5" width="12" style="14" customWidth="1"/>
    <s:col min="6" max="6" width="10" style="14" customWidth="1"/>
    <s:col min="7" max="7" width="12" style="14" customWidth="1"/>
    <s:col min="8" max="8" width="21.426" style="14" customWidth="1"/>
    <s:col min="9" max="9" width="20" style="14" customWidth="1"/>
    <s:col min="10" max="10" width="18" style="14" customWidth="1"/>
    <s:col min="11" max="11" width="14" style="14" customWidth="1"/>
    <s:col min="12" max="12" width="12" style="14" customWidth="1"/>
    <s:col min="13" max="13" width="17.285" style="14" customWidth="1"/>
    <s:col min="14" max="14" width="14" style="14" customWidth="1"/>
    <s:col min="15" max="15" width="19.57" style="14" customWidth="1"/>
    <s:col min="16" max="16" width="19.426" style="14" customWidth="1"/>
    <s:col min="17" max="17" width="12.855" style="1" customWidth="1"/>
    <s:col min="22" max="22" width="10.57" style="1" bestFit="1" customWidth="1"/>
  </s:cols>
  <s:sheetData>
    <s:row x14ac:dyDescent="0.45" r="1" spans="1:22" ht="38.1" customHeight="1">
      <s:c r="A1" s="49"/>
      <s:c r="B1" s="49"/>
      <s:c r="C1" s="50"/>
      <s:c r="D1" s="51" t="s">
        <s:v>0</s:v>
      </s:c>
      <s:c r="E1" s="52"/>
      <s:c r="F1" s="52"/>
      <s:c r="G1" s="52"/>
      <s:c r="H1" s="52"/>
      <s:c r="I1" s="53"/>
      <s:c r="J1" s="49"/>
      <s:c r="K1" s="49"/>
      <s:c r="L1" s="49"/>
      <s:c r="M1" s="49"/>
      <s:c r="N1" s="49"/>
      <s:c r="O1" s="54"/>
      <s:c r="P1" s="54"/>
      <s:c r="Q1" s="54"/>
    </s:row>
    <s:row x14ac:dyDescent="0.25" r="2" spans="1:22" ht="81.95" customHeight="1">
      <s:c r="A2" s="49"/>
      <s:c r="B2" s="49"/>
      <s:c r="C2" s="55" t="s">
        <s:v>1</s:v>
      </s:c>
      <s:c r="D2" s="37"/>
      <s:c r="E2" s="37"/>
      <s:c r="F2" s="37"/>
      <s:c r="G2" s="37"/>
      <s:c r="H2" s="37"/>
      <s:c r="I2" s="49"/>
      <s:c r="J2" s="49"/>
      <s:c r="K2" s="49"/>
      <s:c r="L2" s="49"/>
      <s:c r="M2" s="49"/>
      <s:c r="N2" s="49"/>
      <s:c r="O2" s="54"/>
      <s:c r="P2" s="56" t="s">
        <s:v>194</s:v>
      </s:c>
      <s:c r="Q2" s="37"/>
    </s:row>
    <s:row x14ac:dyDescent="0.25" r="3" spans="1:22" ht="48.6" customHeight="1">
      <s:c r="A3" s="36" t="s">
        <s:v>2</s:v>
      </s:c>
      <s:c r="B3" s="36" t="s">
        <s:v>3</s:v>
      </s:c>
      <s:c r="C3" s="36" t="s">
        <s:v>4</s:v>
      </s:c>
      <s:c r="D3" s="37"/>
      <s:c r="E3" s="37"/>
      <s:c r="F3" s="37"/>
      <s:c r="G3" s="37"/>
      <s:c r="H3" s="37"/>
      <s:c r="I3" s="36" t="s">
        <s:v>5</s:v>
      </s:c>
      <s:c r="J3" s="37"/>
      <s:c r="K3" s="37"/>
      <s:c r="L3" s="37"/>
      <s:c r="M3" s="37"/>
      <s:c r="N3" s="36" t="s">
        <s:v>6</s:v>
      </s:c>
      <s:c r="O3" s="36" t="s">
        <s:v>7</s:v>
      </s:c>
      <s:c r="P3" s="36" t="s">
        <s:v>8</s:v>
      </s:c>
      <s:c r="Q3"/>
      <s:c r="U3" s="1"/>
      <s:c r="V3"/>
    </s:row>
    <s:row x14ac:dyDescent="0.25" r="4" spans="1:22" ht="126" customHeight="1">
      <s:c r="A4" s="37"/>
      <s:c r="B4" s="37"/>
      <s:c r="C4" s="38" t="s">
        <s:v>9</s:v>
      </s:c>
      <s:c r="D4" s="38" t="s">
        <s:v>10</s:v>
      </s:c>
      <s:c r="E4" s="38" t="s">
        <s:v>11</s:v>
      </s:c>
      <s:c r="F4" s="38" t="s">
        <s:v>12</s:v>
      </s:c>
      <s:c r="G4" s="38" t="s">
        <s:v>13</s:v>
      </s:c>
      <s:c r="H4" s="38" t="s">
        <s:v>14</s:v>
      </s:c>
      <s:c r="I4" s="38" t="s">
        <s:v>15</s:v>
      </s:c>
      <s:c r="J4" s="38" t="s">
        <s:v>16</s:v>
      </s:c>
      <s:c r="K4" s="38" t="s">
        <s:v>17</s:v>
      </s:c>
      <s:c r="L4" s="38" t="s">
        <s:v>18</s:v>
      </s:c>
      <s:c r="M4" s="38" t="s">
        <s:v>19</s:v>
      </s:c>
      <s:c r="N4" s="37"/>
      <s:c r="O4" s="37"/>
      <s:c r="P4" s="37"/>
      <s:c r="Q4"/>
      <s:c r="U4" s="1"/>
      <s:c r="V4"/>
    </s:row>
    <s:row x14ac:dyDescent="0.25" r="5" spans="1:22" ht="30.95" customHeight="1">
      <s:c r="A5" s="39">
        <s:v>1</s:v>
      </s:c>
      <s:c r="B5" s="39">
        <s:v>2</s:v>
      </s:c>
      <s:c r="C5" s="39">
        <s:v>3</s:v>
      </s:c>
      <s:c r="D5" s="39">
        <s:v>4</s:v>
      </s:c>
      <s:c r="E5" s="39">
        <s:v>5</s:v>
      </s:c>
      <s:c r="F5" s="39">
        <s:v>6</s:v>
      </s:c>
      <s:c r="G5" s="39">
        <s:v>7</s:v>
      </s:c>
      <s:c r="H5" s="39" t="s">
        <s:v>20</s:v>
      </s:c>
      <s:c r="I5" s="39">
        <s:v>9</s:v>
      </s:c>
      <s:c r="J5" s="39">
        <s:v>10</s:v>
      </s:c>
      <s:c r="K5" s="39" t="s">
        <s:v>21</s:v>
      </s:c>
      <s:c r="L5" s="39">
        <s:v>12</s:v>
      </s:c>
      <s:c r="M5" s="39" t="s">
        <s:v>22</s:v>
      </s:c>
      <s:c r="N5" s="39" t="s">
        <s:v>23</s:v>
      </s:c>
      <s:c r="O5" s="39" t="s">
        <s:v>24</s:v>
      </s:c>
      <s:c r="P5" s="39" t="s">
        <s:v>25</s:v>
      </s:c>
      <s:c r="Q5"/>
      <s:c r="R5" s="16"/>
      <s:c r="V5"/>
    </s:row>
    <s:row x14ac:dyDescent="0.25" r="6" spans="1:22" ht="15.75" customHeight="1">
      <s:c r="A6" s="40" t="s">
        <s:v>26</s:v>
      </s:c>
      <s:c r="B6" s="41" t="s">
        <s:v>27</s:v>
      </s:c>
      <s:c r="C6" s="42" t="s">
        <s:v>28</s:v>
      </s:c>
      <s:c r="D6" s="42" t="s">
        <s:v>29</s:v>
      </s:c>
      <s:c r="E6" s="42" t="s">
        <s:v>30</s:v>
      </s:c>
      <s:c r="F6" s="42">
        <s:v>180</s:v>
      </s:c>
      <s:c r="G6" s="42">
        <s:v>320</s:v>
      </s:c>
      <s:c r="H6" s="42">
        <s:f validation_="true">F6*G6</s:f>
        <s:v>57600</s:v>
      </s:c>
      <s:c r="I6" s="42" t="s">
        <s:v>31</s:v>
      </s:c>
      <s:c r="J6" s="42">
        <s:v>85000</s:v>
      </s:c>
      <s:c r="K6" s="42">
        <s:f>J6/164.3</s:f>
        <s:v>517.34631771150327</s:v>
      </s:c>
      <s:c r="L6" s="42">
        <s:v>32</s:v>
      </s:c>
      <s:c r="M6" s="42">
        <s:f>K6*L6</s:f>
        <s:v>16555.082166768105</s:v>
      </s:c>
      <s:c r="N6" s="42">
        <s:f>M6*0.302</s:f>
        <s:v>4999.6348143639671</s:v>
      </s:c>
      <s:c r="O6" s="42">
        <s:f>(M6+N6)*2</s:f>
        <s:v>43109.433962264142</s:v>
      </s:c>
      <s:c r="P6" s="42">
        <s:f validation_="true">H6+M6+N6+O6</s:f>
        <s:v>122264.15094339621</s:v>
      </s:c>
      <s:c r="Q6"/>
      <s:c r="R6" s="15"/>
      <s:c r="U6" s="15"/>
      <s:c r="V6"/>
    </s:row>
    <s:row x14ac:dyDescent="0.25" r="7" spans="1:22" ht="15.75" customHeight="1">
      <s:c r="A7" s="44"/>
      <s:c r="B7" s="44"/>
      <s:c r="C7" s="42" t="s">
        <s:v>32</s:v>
      </s:c>
      <s:c r="D7" s="42" t="s">
        <s:v>33</s:v>
      </s:c>
      <s:c r="E7" s="42" t="s">
        <s:v>34</s:v>
      </s:c>
      <s:c r="F7" s="42">
        <s:v>24</s:v>
      </s:c>
      <s:c r="G7" s="42">
        <s:v>2350</s:v>
      </s:c>
      <s:c r="H7" s="42">
        <s:f validation_="true">F7*G7</s:f>
        <s:v>56400</s:v>
      </s:c>
      <s:c r="I7" s="42" t="s">
        <s:v>31</s:v>
      </s:c>
      <s:c r="J7" s="42">
        <s:v>85000</s:v>
      </s:c>
      <s:c r="K7" s="42">
        <s:f>J7/164.3</s:f>
        <s:v>517.34631771150327</s:v>
      </s:c>
      <s:c r="L7" s="42">
        <s:v>16</s:v>
      </s:c>
      <s:c r="M7" s="42">
        <s:f>K7*L7</s:f>
        <s:v>8277.5410833840524</s:v>
      </s:c>
      <s:c r="N7" s="42">
        <s:f>M7*0.302</s:f>
        <s:v>2499.8174071819835</s:v>
      </s:c>
      <s:c r="O7" s="42">
        <s:f>(M7+N7)*2</s:f>
        <s:v>21554.716981132071</s:v>
      </s:c>
      <s:c r="P7" s="42">
        <s:f validation_="true">H7+M7+N7+O7</s:f>
        <s:v>88732.075471698103</s:v>
      </s:c>
      <s:c r="Q7"/>
      <s:c r="R7" s="14"/>
      <s:c r="U7" s="1"/>
      <s:c r="V7"/>
    </s:row>
    <s:row x14ac:dyDescent="0.25" r="8" spans="1:22" ht="15.75" customHeight="1">
      <s:c r="A8" s="44"/>
      <s:c r="B8" s="44"/>
      <s:c r="C8" s="42" t="s">
        <s:v>35</s:v>
      </s:c>
      <s:c r="D8" s="42" t="s">
        <s:v>36</s:v>
      </s:c>
      <s:c r="E8" s="42" t="s">
        <s:v>37</s:v>
      </s:c>
      <s:c r="F8" s="42">
        <s:v>48</s:v>
      </s:c>
      <s:c r="G8" s="42">
        <s:v>212</s:v>
      </s:c>
      <s:c r="H8" s="42">
        <s:f validation_="true">F8*G8</s:f>
        <s:v>10176</s:v>
      </s:c>
      <s:c r="I8" s="42" t="s">
        <s:v>38</s:v>
      </s:c>
      <s:c r="J8" s="42">
        <s:v>88000</s:v>
      </s:c>
      <s:c r="K8" s="42">
        <s:f>J8/164.3</s:f>
        <s:v>535.60559951308574</s:v>
      </s:c>
      <s:c r="L8" s="42">
        <s:v>24</s:v>
      </s:c>
      <s:c r="M8" s="42">
        <s:f>K8*L8</s:f>
        <s:v>12854.534388314058</s:v>
      </s:c>
      <s:c r="N8" s="42">
        <s:f>M8*0.302</s:f>
        <s:v>3882.0693852708455</s:v>
      </s:c>
      <s:c r="O8" s="42">
        <s:f>(M8+N8)*2</s:f>
        <s:v>33473.207547169804</s:v>
      </s:c>
      <s:c r="P8" s="42">
        <s:f validation_="true">H8+M8+N8+O8</s:f>
        <s:v>60385.811320754714</s:v>
      </s:c>
      <s:c r="Q8"/>
      <s:c r="R8" s="14"/>
      <s:c r="U8" s="14"/>
      <s:c r="V8"/>
    </s:row>
    <s:row x14ac:dyDescent="0.25" r="9" spans="1:22" ht="15.75" customHeight="1">
      <s:c r="A9" s="44"/>
      <s:c r="B9" s="44"/>
      <s:c r="C9" s="42" t="s">
        <s:v>39</s:v>
      </s:c>
      <s:c r="D9" s="42" t="s">
        <s:v>40</s:v>
      </s:c>
      <s:c r="E9" s="42" t="s">
        <s:v>37</s:v>
      </s:c>
      <s:c r="F9" s="42">
        <s:v>24</s:v>
      </s:c>
      <s:c r="G9" s="42">
        <s:v>120</s:v>
      </s:c>
      <s:c r="H9" s="42">
        <s:f validation_="true">F9*G9</s:f>
        <s:v>2880</s:v>
      </s:c>
      <s:c r="I9" s="42"/>
      <s:c r="J9" s="42"/>
      <s:c r="K9" s="42"/>
      <s:c r="L9" s="42"/>
      <s:c r="M9" s="42"/>
      <s:c r="N9" s="42"/>
      <s:c r="O9" s="42"/>
      <s:c r="P9" s="42">
        <s:f validation_="true">H9+M9+N9+O9</s:f>
        <s:v>2880</s:v>
      </s:c>
      <s:c r="Q9"/>
      <s:c r="R9" s="15"/>
      <s:c r="U9" s="1"/>
      <s:c r="V9"/>
    </s:row>
    <s:row x14ac:dyDescent="0.25" r="10" spans="1:22" ht="15.75" customHeight="1">
      <s:c r="A10" s="44"/>
      <s:c r="B10" s="44"/>
      <s:c r="C10" s="42" t="s">
        <s:v>41</s:v>
      </s:c>
      <s:c r="D10" s="42" t="s">
        <s:v>42</s:v>
      </s:c>
      <s:c r="E10" s="42" t="s">
        <s:v>37</s:v>
      </s:c>
      <s:c r="F10" s="42">
        <s:v>1</s:v>
      </s:c>
      <s:c r="G10" s="42">
        <s:v>4500</s:v>
      </s:c>
      <s:c r="H10" s="42">
        <s:f validation_="true">F10*G10</s:f>
        <s:v>4500</s:v>
      </s:c>
      <s:c r="I10" s="42"/>
      <s:c r="J10" s="42"/>
      <s:c r="K10" s="42"/>
      <s:c r="L10" s="42"/>
      <s:c r="M10" s="42"/>
      <s:c r="N10" s="42"/>
      <s:c r="O10" s="42"/>
      <s:c r="P10" s="42">
        <s:f validation_="true">H10+M10+N10+O10</s:f>
        <s:v>4500</s:v>
      </s:c>
      <s:c r="Q10"/>
      <s:c r="U10" s="1"/>
      <s:c r="V10"/>
    </s:row>
    <s:row x14ac:dyDescent="0.25" r="11" spans="1:22" ht="15.75" customHeight="1">
      <s:c r="A11" s="44"/>
      <s:c r="B11" s="44"/>
      <s:c r="C11" s="42" t="s">
        <s:v>43</s:v>
      </s:c>
      <s:c r="D11" s="42" t="s">
        <s:v>44</s:v>
      </s:c>
      <s:c r="E11" s="42" t="s">
        <s:v>37</s:v>
      </s:c>
      <s:c r="F11" s="42">
        <s:v>1</s:v>
      </s:c>
      <s:c r="G11" s="42">
        <s:v>8000</s:v>
      </s:c>
      <s:c r="H11" s="42">
        <s:f validation_="true">F11*G11</s:f>
        <s:v>8000</s:v>
      </s:c>
      <s:c r="I11" s="42"/>
      <s:c r="J11" s="42"/>
      <s:c r="K11" s="42"/>
      <s:c r="L11" s="42"/>
      <s:c r="M11" s="42"/>
      <s:c r="N11" s="42"/>
      <s:c r="O11" s="42"/>
      <s:c r="P11" s="42">
        <s:f validation_="true">H11+M11+N11+O11</s:f>
        <s:v>8000</s:v>
      </s:c>
      <s:c r="Q11"/>
      <s:c r="U11" s="1"/>
      <s:c r="V11"/>
    </s:row>
    <s:row x14ac:dyDescent="0.25" r="12" spans="1:22" ht="15.75" customHeight="1">
      <s:c r="A12" s="44"/>
      <s:c r="B12" s="44"/>
      <s:c r="C12" s="42" t="s">
        <s:v>45</s:v>
      </s:c>
      <s:c r="D12" s="42" t="s">
        <s:v>46</s:v>
      </s:c>
      <s:c r="E12" s="42" t="s">
        <s:v>37</s:v>
      </s:c>
      <s:c r="F12" s="42">
        <s:v>1</s:v>
      </s:c>
      <s:c r="G12" s="42">
        <s:v>5000</s:v>
      </s:c>
      <s:c r="H12" s="42">
        <s:f validation_="true">F12*G12</s:f>
        <s:v>5000</s:v>
      </s:c>
      <s:c r="I12" s="42"/>
      <s:c r="J12" s="42"/>
      <s:c r="K12" s="42"/>
      <s:c r="L12" s="42"/>
      <s:c r="M12" s="42"/>
      <s:c r="N12" s="42"/>
      <s:c r="O12" s="42"/>
      <s:c r="P12" s="42">
        <s:f validation_="true">H12+M12+N12+O12</s:f>
        <s:v>5000</s:v>
      </s:c>
      <s:c r="Q12"/>
      <s:c r="U12" s="1"/>
      <s:c r="V12"/>
    </s:row>
    <s:row x14ac:dyDescent="0.25" r="13" spans="1:22" ht="15.75" customHeight="1">
      <s:c r="A13" s="44"/>
      <s:c r="B13" s="44"/>
      <s:c r="C13" s="42" t="s">
        <s:v>47</s:v>
      </s:c>
      <s:c r="D13" s="42" t="s">
        <s:v>48</s:v>
      </s:c>
      <s:c r="E13" s="42" t="s">
        <s:v>49</s:v>
      </s:c>
      <s:c r="F13" s="42">
        <s:v>25</s:v>
      </s:c>
      <s:c r="G13" s="42">
        <s:v>450</s:v>
      </s:c>
      <s:c r="H13" s="42">
        <s:f validation_="true">F13*G13</s:f>
        <s:v>11250</s:v>
      </s:c>
      <s:c r="I13" s="42"/>
      <s:c r="J13" s="42"/>
      <s:c r="K13" s="42"/>
      <s:c r="L13" s="42"/>
      <s:c r="M13" s="42"/>
      <s:c r="N13" s="42"/>
      <s:c r="O13" s="42"/>
      <s:c r="P13" s="42">
        <s:f validation_="true">H13+M13+N13+O13</s:f>
        <s:v>11250</s:v>
      </s:c>
      <s:c r="Q13"/>
      <s:c r="U13" s="1"/>
      <s:c r="V13"/>
    </s:row>
    <s:row x14ac:dyDescent="0.25" r="14" spans="1:22" ht="15.75" customHeight="1">
      <s:c r="A14" s="44"/>
      <s:c r="B14" s="44"/>
      <s:c r="C14" s="42" t="s">
        <s:v>50</s:v>
      </s:c>
      <s:c r="D14" s="42" t="s">
        <s:v>51</s:v>
      </s:c>
      <s:c r="E14" s="42" t="s">
        <s:v>49</s:v>
      </s:c>
      <s:c r="F14" s="42">
        <s:v>40</s:v>
      </s:c>
      <s:c r="G14" s="42">
        <s:v>380</s:v>
      </s:c>
      <s:c r="H14" s="42">
        <s:f validation_="true">F14*G14</s:f>
        <s:v>15200</s:v>
      </s:c>
      <s:c r="I14" s="42"/>
      <s:c r="J14" s="42"/>
      <s:c r="K14" s="42"/>
      <s:c r="L14" s="42"/>
      <s:c r="M14" s="42"/>
      <s:c r="N14" s="42"/>
      <s:c r="O14" s="42"/>
      <s:c r="P14" s="42">
        <s:f validation_="true">H14+M14+N14+O14</s:f>
        <s:v>15200</s:v>
      </s:c>
      <s:c r="Q14"/>
      <s:c r="U14" s="1"/>
      <s:c r="V14"/>
    </s:row>
    <s:row x14ac:dyDescent="0.25" r="15" spans="1:22" ht="15.75" customHeight="1">
      <s:c r="A15" s="44"/>
      <s:c r="B15" s="44"/>
      <s:c r="C15" s="42" t="s">
        <s:v>52</s:v>
      </s:c>
      <s:c r="D15" s="42" t="s">
        <s:v>53</s:v>
      </s:c>
      <s:c r="E15" s="42" t="s">
        <s:v>54</s:v>
      </s:c>
      <s:c r="F15" s="42">
        <s:v>4</s:v>
      </s:c>
      <s:c r="G15" s="42">
        <s:v>850</s:v>
      </s:c>
      <s:c r="H15" s="42">
        <s:f validation_="true">F15*G15</s:f>
        <s:v>3400</s:v>
      </s:c>
      <s:c r="I15" s="42"/>
      <s:c r="J15" s="42"/>
      <s:c r="K15" s="42"/>
      <s:c r="L15" s="42"/>
      <s:c r="M15" s="42"/>
      <s:c r="N15" s="42"/>
      <s:c r="O15" s="42"/>
      <s:c r="P15" s="42">
        <s:f validation_="true">H15+M15+N15+O15</s:f>
        <s:v>3400</s:v>
      </s:c>
      <s:c r="Q15"/>
      <s:c r="U15" s="1"/>
      <s:c r="V15"/>
    </s:row>
    <s:row x14ac:dyDescent="0.25" r="16" spans="1:22" ht="15.75" customHeight="1">
      <s:c r="A16" s="44"/>
      <s:c r="B16" s="44"/>
      <s:c r="C16" s="42"/>
      <s:c r="D16" s="42"/>
      <s:c r="E16" s="42"/>
      <s:c r="F16" s="42"/>
      <s:c r="G16" s="42"/>
      <s:c r="H16" s="42"/>
      <s:c r="I16" s="42"/>
      <s:c r="J16" s="42"/>
      <s:c r="K16" s="42"/>
      <s:c r="L16" s="42"/>
      <s:c r="M16" s="42"/>
      <s:c r="N16" s="42"/>
      <s:c r="O16" s="42"/>
      <s:c r="P16" s="42"/>
      <s:c r="Q16"/>
      <s:c r="U16" s="1"/>
      <s:c r="V16"/>
    </s:row>
    <s:row x14ac:dyDescent="0.25" r="17" spans="1:22" ht="15.75" customHeight="1">
      <s:c r="A17" s="44"/>
      <s:c r="B17" s="44"/>
      <s:c r="C17" s="42"/>
      <s:c r="D17" s="42"/>
      <s:c r="E17" s="42"/>
      <s:c r="F17" s="42"/>
      <s:c r="G17" s="42"/>
      <s:c r="H17" s="42"/>
      <s:c r="I17" s="42"/>
      <s:c r="J17" s="42"/>
      <s:c r="K17" s="42"/>
      <s:c r="L17" s="42"/>
      <s:c r="M17" s="42"/>
      <s:c r="N17" s="42"/>
      <s:c r="O17" s="42"/>
      <s:c r="P17" s="42"/>
      <s:c r="Q17"/>
      <s:c r="U17" s="1"/>
      <s:c r="V17"/>
    </s:row>
    <s:row x14ac:dyDescent="0.25" r="18" spans="1:22" ht="15.75" customHeight="1">
      <s:c r="A18" s="44"/>
      <s:c r="B18" s="44"/>
      <s:c r="C18" s="42"/>
      <s:c r="D18" s="42"/>
      <s:c r="E18" s="42"/>
      <s:c r="F18" s="42"/>
      <s:c r="G18" s="42"/>
      <s:c r="H18" s="42"/>
      <s:c r="I18" s="42"/>
      <s:c r="J18" s="42"/>
      <s:c r="K18" s="42"/>
      <s:c r="L18" s="42"/>
      <s:c r="M18" s="42"/>
      <s:c r="N18" s="42"/>
      <s:c r="O18" s="42"/>
      <s:c r="P18" s="42"/>
      <s:c r="Q18"/>
      <s:c r="U18" s="1"/>
      <s:c r="V18"/>
    </s:row>
    <s:row x14ac:dyDescent="0.25" r="19" spans="1:22" ht="15.75" customHeight="1">
      <s:c r="A19" s="45" t="s">
        <s:v>55</s:v>
      </s:c>
      <s:c r="B19" s="42"/>
      <s:c r="C19" s="42"/>
      <s:c r="D19" s="42"/>
      <s:c r="E19" s="42"/>
      <s:c r="F19" s="42"/>
      <s:c r="G19" s="42"/>
      <s:c r="H19" s="45">
        <s:f>SUM(H6:H15)</s:f>
        <s:v>174406</s:v>
      </s:c>
      <s:c r="I19" s="42"/>
      <s:c r="J19" s="42"/>
      <s:c r="K19" s="42"/>
      <s:c r="L19" s="42"/>
      <s:c r="M19" s="45">
        <s:f>SUM(M6:M15)</s:f>
        <s:v>37687.157638466218</s:v>
      </s:c>
      <s:c r="N19" s="45">
        <s:f>SUM(N6:N15)</s:f>
        <s:v>11381.521606816797</s:v>
      </s:c>
      <s:c r="O19" s="45">
        <s:f>SUM(O6:O15)</s:f>
        <s:v>98137.358490566025</s:v>
      </s:c>
      <s:c r="P19" s="45">
        <s:f>SUM(P6,P7:P15)</s:f>
        <s:v>321612.03773584904</s:v>
      </s:c>
      <s:c r="Q19"/>
      <s:c r="U19" s="1"/>
      <s:c r="V19"/>
    </s:row>
    <s:row x14ac:dyDescent="0.25" r="20" spans="1:22" ht="15.75" customHeight="1">
      <s:c r="A20" s="40" t="s">
        <s:v>56</s:v>
      </s:c>
      <s:c r="B20" s="41" t="s">
        <s:v>57</s:v>
      </s:c>
      <s:c r="C20" s="42" t="s">
        <s:v>58</s:v>
      </s:c>
      <s:c r="D20" s="42" t="s">
        <s:v>59</s:v>
      </s:c>
      <s:c r="E20" s="42" t="s">
        <s:v>30</s:v>
      </s:c>
      <s:c r="F20" s="42">
        <s:v>375</s:v>
      </s:c>
      <s:c r="G20" s="42">
        <s:v>320</s:v>
      </s:c>
      <s:c r="H20" s="42">
        <s:f>F20*G20</s:f>
        <s:v>120000</s:v>
      </s:c>
      <s:c r="I20" s="42" t="s">
        <s:v>31</s:v>
      </s:c>
      <s:c r="J20" s="42">
        <s:v>85000</s:v>
      </s:c>
      <s:c r="K20" s="42">
        <s:f>J20/164.3</s:f>
        <s:v>517.34631771150327</s:v>
      </s:c>
      <s:c r="L20" s="42">
        <s:v>48</s:v>
      </s:c>
      <s:c r="M20" s="42">
        <s:f>K20*L20</s:f>
        <s:v>24832.623250152159</s:v>
      </s:c>
      <s:c r="N20" s="42">
        <s:f>M20*0.302</s:f>
        <s:v>7499.4522215459519</s:v>
      </s:c>
      <s:c r="O20" s="42">
        <s:f>(M20+N20)*2</s:f>
        <s:v>64664.15094339622</s:v>
      </s:c>
      <s:c r="P20" s="42">
        <s:f>H20+M20+N20+O20</s:f>
        <s:v>216996.22641509434</s:v>
      </s:c>
      <s:c r="Q20"/>
      <s:c r="U20" s="1"/>
      <s:c r="V20"/>
    </s:row>
    <s:row x14ac:dyDescent="0.25" r="21" spans="1:22" ht="15.75" customHeight="1">
      <s:c r="A21" s="44"/>
      <s:c r="B21" s="44"/>
      <s:c r="C21" s="42" t="s">
        <s:v>60</s:v>
      </s:c>
      <s:c r="D21" s="42" t="s">
        <s:v>61</s:v>
      </s:c>
      <s:c r="E21" s="42" t="s">
        <s:v>34</s:v>
      </s:c>
      <s:c r="F21" s="42">
        <s:v>215</s:v>
      </s:c>
      <s:c r="G21" s="42">
        <s:v>370</s:v>
      </s:c>
      <s:c r="H21" s="42">
        <s:f>F21*G21</s:f>
        <s:v>79550</s:v>
      </s:c>
      <s:c r="I21" s="42" t="s">
        <s:v>62</s:v>
      </s:c>
      <s:c r="J21" s="42">
        <s:v>75000</s:v>
      </s:c>
      <s:c r="K21" s="42">
        <s:f>J21/164.3</s:f>
        <s:v>456.48204503956174</s:v>
      </s:c>
      <s:c r="L21" s="42">
        <s:v>16</s:v>
      </s:c>
      <s:c r="M21" s="42">
        <s:f>K21*L21</s:f>
        <s:v>7303.7127206329878</s:v>
      </s:c>
      <s:c r="N21" s="42">
        <s:f>M21*0.302</s:f>
        <s:v>2205.7212416311622</s:v>
      </s:c>
      <s:c r="O21" s="42">
        <s:f>(M21+N21)*2</s:f>
        <s:v>19018.867924528298</s:v>
      </s:c>
      <s:c r="P21" s="42">
        <s:f>H21+M21+N21+O21</s:f>
        <s:v>108078.30188679245</s:v>
      </s:c>
      <s:c r="Q21"/>
      <s:c r="U21" s="1"/>
      <s:c r="V21"/>
    </s:row>
    <s:row x14ac:dyDescent="0.25" r="22" spans="1:22" ht="15.75" customHeight="1">
      <s:c r="A22" s="44"/>
      <s:c r="B22" s="44"/>
      <s:c r="C22" s="42" t="s">
        <s:v>63</s:v>
      </s:c>
      <s:c r="D22" s="42" t="s">
        <s:v>64</s:v>
      </s:c>
      <s:c r="E22" s="42" t="s">
        <s:v>65</s:v>
      </s:c>
      <s:c r="F22" s="42">
        <s:v>95</s:v>
      </s:c>
      <s:c r="G22" s="42">
        <s:v>350</s:v>
      </s:c>
      <s:c r="H22" s="42">
        <s:f>F22*G22</s:f>
        <s:v>33250</s:v>
      </s:c>
      <s:c r="I22" s="42" t="s">
        <s:v>66</s:v>
      </s:c>
      <s:c r="J22" s="42">
        <s:v>72000</s:v>
      </s:c>
      <s:c r="K22" s="42">
        <s:f>J22/164.3</s:f>
        <s:v>438.22276323797928</s:v>
      </s:c>
      <s:c r="L22" s="42">
        <s:v>12</s:v>
      </s:c>
      <s:c r="M22" s="42">
        <s:f>K22*L22</s:f>
        <s:v>5258.6731588557514</s:v>
      </s:c>
      <s:c r="N22" s="42">
        <s:f>M22*0.302</s:f>
        <s:v>1588.1192939744369</s:v>
      </s:c>
      <s:c r="O22" s="42">
        <s:f>(M22+N22)*2</s:f>
        <s:v>13693.584905660377</s:v>
      </s:c>
      <s:c r="P22" s="42">
        <s:f>H22+M22+N22+O22</s:f>
        <s:v>53790.377358490565</s:v>
      </s:c>
      <s:c r="Q22"/>
      <s:c r="U22" s="1"/>
      <s:c r="V22"/>
    </s:row>
    <s:row x14ac:dyDescent="0.25" r="23" spans="1:22" ht="15.75" customHeight="1">
      <s:c r="A23" s="44"/>
      <s:c r="B23" s="44"/>
      <s:c r="C23" s="42" t="s">
        <s:v>67</s:v>
      </s:c>
      <s:c r="D23" s="42" t="s">
        <s:v>68</s:v>
      </s:c>
      <s:c r="E23" s="42" t="s">
        <s:v>69</s:v>
      </s:c>
      <s:c r="F23" s="42">
        <s:v>3</s:v>
      </s:c>
      <s:c r="G23" s="42">
        <s:v>4200</s:v>
      </s:c>
      <s:c r="H23" s="42">
        <s:f>F23*G23</s:f>
        <s:v>12600</s:v>
      </s:c>
      <s:c r="I23" s="42"/>
      <s:c r="J23" s="42"/>
      <s:c r="K23" s="42"/>
      <s:c r="L23" s="42"/>
      <s:c r="M23" s="42"/>
      <s:c r="N23" s="42"/>
      <s:c r="O23" s="42"/>
      <s:c r="P23" s="42">
        <s:f>H23+M23+N23+O23</s:f>
        <s:v>12600</s:v>
      </s:c>
      <s:c r="Q23"/>
      <s:c r="U23" s="1"/>
      <s:c r="V23"/>
    </s:row>
    <s:row x14ac:dyDescent="0.25" r="24" spans="1:22" ht="15.75" customHeight="1">
      <s:c r="A24" s="44"/>
      <s:c r="B24" s="44"/>
      <s:c r="C24" s="42"/>
      <s:c r="D24" s="42"/>
      <s:c r="E24" s="42"/>
      <s:c r="F24" s="42"/>
      <s:c r="G24" s="42"/>
      <s:c r="H24" s="42"/>
      <s:c r="I24" s="42"/>
      <s:c r="J24" s="42"/>
      <s:c r="K24" s="42"/>
      <s:c r="L24" s="42"/>
      <s:c r="M24" s="42"/>
      <s:c r="N24" s="42"/>
      <s:c r="O24" s="42"/>
      <s:c r="P24" s="42"/>
      <s:c r="Q24"/>
      <s:c r="U24" s="1"/>
      <s:c r="V24"/>
    </s:row>
    <s:row x14ac:dyDescent="0.25" r="25" spans="1:22" ht="15.75" customHeight="1">
      <s:c r="A25" s="44"/>
      <s:c r="B25" s="44"/>
      <s:c r="C25" s="42"/>
      <s:c r="D25" s="42"/>
      <s:c r="E25" s="42"/>
      <s:c r="F25" s="42"/>
      <s:c r="G25" s="42"/>
      <s:c r="H25" s="42"/>
      <s:c r="I25" s="42"/>
      <s:c r="J25" s="42"/>
      <s:c r="K25" s="42"/>
      <s:c r="L25" s="42"/>
      <s:c r="M25" s="42"/>
      <s:c r="N25" s="42"/>
      <s:c r="O25" s="42"/>
      <s:c r="P25" s="42"/>
      <s:c r="Q25"/>
      <s:c r="U25" s="1"/>
      <s:c r="V25"/>
    </s:row>
    <s:row x14ac:dyDescent="0.25" r="26" spans="1:22" ht="15.75" customHeight="1">
      <s:c r="A26" s="45" t="s">
        <s:v>55</s:v>
      </s:c>
      <s:c r="B26" s="42"/>
      <s:c r="C26" s="42"/>
      <s:c r="D26" s="42"/>
      <s:c r="E26" s="42"/>
      <s:c r="F26" s="42"/>
      <s:c r="G26" s="42"/>
      <s:c r="H26" s="45">
        <s:f>SUM(H20:H23)</s:f>
        <s:v>245400</s:v>
      </s:c>
      <s:c r="I26" s="42"/>
      <s:c r="J26" s="42"/>
      <s:c r="K26" s="42"/>
      <s:c r="L26" s="42"/>
      <s:c r="M26" s="45">
        <s:f>SUM(M20:M22)</s:f>
        <s:v>37395.009129640901</s:v>
      </s:c>
      <s:c r="N26" s="45">
        <s:f>SUM(N20:N22)</s:f>
        <s:v>11293.29275715155</s:v>
      </s:c>
      <s:c r="O26" s="45">
        <s:f>SUM(O20:O22)</s:f>
        <s:v>97376.603773584895</s:v>
      </s:c>
      <s:c r="P26" s="45">
        <s:f>SUM(P20:P23)</s:f>
        <s:v>391464.90566037735</s:v>
      </s:c>
      <s:c r="Q26"/>
      <s:c r="U26" s="1"/>
      <s:c r="V26"/>
    </s:row>
    <s:row x14ac:dyDescent="0.25" r="27" spans="1:22" ht="15.75" customHeight="1">
      <s:c r="A27" s="32" t="s">
        <s:v>70</s:v>
      </s:c>
      <s:c r="B27" s="31" t="s">
        <s:v>71</s:v>
      </s:c>
      <s:c r="C27" s="17" t="s">
        <s:v>58</s:v>
      </s:c>
      <s:c r="D27" s="17" t="s">
        <s:v>59</s:v>
      </s:c>
      <s:c r="E27" s="17" t="s">
        <s:v>30</s:v>
      </s:c>
      <s:c r="F27" s="17">
        <s:v>420</s:v>
      </s:c>
      <s:c r="G27" s="17">
        <s:v>320</s:v>
      </s:c>
      <s:c r="H27" s="17">
        <s:f validation_="true">F27*G27</s:f>
        <s:v>134400</s:v>
      </s:c>
      <s:c r="I27" s="17" t="s">
        <s:v>31</s:v>
      </s:c>
      <s:c r="J27" s="17">
        <s:v>85000</s:v>
      </s:c>
      <s:c r="K27" s="17">
        <s:f>J27/164.3</s:f>
        <s:v>517.34631771150327</s:v>
      </s:c>
      <s:c r="L27" s="17">
        <s:v>48</s:v>
      </s:c>
      <s:c r="M27" s="17">
        <s:f>K27*L27</s:f>
        <s:v>24832.623250152159</s:v>
      </s:c>
      <s:c r="N27" s="17">
        <s:f>M27*0.302</s:f>
        <s:v>7499.4522215459519</s:v>
      </s:c>
      <s:c r="O27" s="17">
        <s:f>(M27+N27)*2</s:f>
        <s:v>64664.15094339622</s:v>
      </s:c>
      <s:c r="P27" s="17">
        <s:f validation_="true">H27+M27+N27+O27</s:f>
        <s:v>231396.22641509434</s:v>
      </s:c>
      <s:c r="Q27"/>
      <s:c r="U27" s="1"/>
      <s:c r="V27"/>
    </s:row>
    <s:row x14ac:dyDescent="0.25" r="28" spans="1:22" ht="15.75" customHeight="1">
      <s:c r="A28" s="46"/>
      <s:c r="B28" s="46"/>
      <s:c r="C28" s="17" t="s">
        <s:v>72</s:v>
      </s:c>
      <s:c r="D28" s="17" t="s">
        <s:v>73</s:v>
      </s:c>
      <s:c r="E28" s="17" t="s">
        <s:v>34</s:v>
      </s:c>
      <s:c r="F28" s="17">
        <s:v>52</s:v>
      </s:c>
      <s:c r="G28" s="17">
        <s:v>820</s:v>
      </s:c>
      <s:c r="H28" s="17">
        <s:f validation_="true">F28*G28</s:f>
        <s:v>42640</s:v>
      </s:c>
      <s:c r="I28" s="17" t="s">
        <s:v>66</s:v>
      </s:c>
      <s:c r="J28" s="17">
        <s:v>72000</s:v>
      </s:c>
      <s:c r="K28" s="17">
        <s:f>J28/164.3</s:f>
        <s:v>438.22276323797928</s:v>
      </s:c>
      <s:c r="L28" s="17">
        <s:v>24</s:v>
      </s:c>
      <s:c r="M28" s="17">
        <s:f>K28*L28</s:f>
        <s:v>10517.346317711503</s:v>
      </s:c>
      <s:c r="N28" s="17">
        <s:f>M28*0.302</s:f>
        <s:v>3176.2385879488738</s:v>
      </s:c>
      <s:c r="O28" s="17">
        <s:f>(M28+N28)*2</s:f>
        <s:v>27387.169811320753</s:v>
      </s:c>
      <s:c r="P28" s="17">
        <s:f validation_="true">H28+M28+N28+O28</s:f>
        <s:v>83720.75471698113</s:v>
      </s:c>
      <s:c r="Q28"/>
      <s:c r="U28" s="1"/>
      <s:c r="V28"/>
    </s:row>
    <s:row x14ac:dyDescent="0.25" r="29" spans="1:22" ht="15.75" customHeight="1">
      <s:c r="A29" s="46"/>
      <s:c r="B29" s="46"/>
      <s:c r="C29" s="17" t="s">
        <s:v>35</s:v>
      </s:c>
      <s:c r="D29" s="17" t="s">
        <s:v>36</s:v>
      </s:c>
      <s:c r="E29" s="17" t="s">
        <s:v>37</s:v>
      </s:c>
      <s:c r="F29" s="17">
        <s:v>108</s:v>
      </s:c>
      <s:c r="G29" s="17">
        <s:v>212</s:v>
      </s:c>
      <s:c r="H29" s="17">
        <s:f validation_="true">F29*G29</s:f>
        <s:v>22896</s:v>
      </s:c>
      <s:c r="I29" s="17" t="s">
        <s:v>38</s:v>
      </s:c>
      <s:c r="J29" s="17">
        <s:v>88000</s:v>
      </s:c>
      <s:c r="K29" s="17">
        <s:f>J29/164.3</s:f>
        <s:v>535.60559951308574</s:v>
      </s:c>
      <s:c r="L29" s="17">
        <s:v>24</s:v>
      </s:c>
      <s:c r="M29" s="17">
        <s:f>K29*L29</s:f>
        <s:v>12854.534388314058</s:v>
      </s:c>
      <s:c r="N29" s="17">
        <s:f>M29*0.302</s:f>
        <s:v>3882.0693852708455</s:v>
      </s:c>
      <s:c r="O29" s="17">
        <s:f>(M29+N29)*2</s:f>
        <s:v>33473.207547169804</s:v>
      </s:c>
      <s:c r="P29" s="17">
        <s:f validation_="true">H29+M29+N29+O29</s:f>
        <s:v>73105.811320754699</s:v>
      </s:c>
      <s:c r="Q29"/>
      <s:c r="U29" s="1"/>
      <s:c r="V29"/>
    </s:row>
    <s:row x14ac:dyDescent="0.25" r="30" spans="1:22" ht="15.75" customHeight="1">
      <s:c r="A30" s="46"/>
      <s:c r="B30" s="46"/>
      <s:c r="C30" s="17" t="s">
        <s:v>39</s:v>
      </s:c>
      <s:c r="D30" s="17" t="s">
        <s:v>40</s:v>
      </s:c>
      <s:c r="E30" s="17" t="s">
        <s:v>37</s:v>
      </s:c>
      <s:c r="F30" s="17">
        <s:v>54</s:v>
      </s:c>
      <s:c r="G30" s="17">
        <s:v>120</s:v>
      </s:c>
      <s:c r="H30" s="17">
        <s:f validation_="true">F30*G30</s:f>
        <s:v>6480</s:v>
      </s:c>
      <s:c r="I30" s="17"/>
      <s:c r="J30" s="17"/>
      <s:c r="K30" s="17"/>
      <s:c r="L30" s="17"/>
      <s:c r="M30" s="17"/>
      <s:c r="N30" s="17"/>
      <s:c r="O30" s="17"/>
      <s:c r="P30" s="17">
        <s:f validation_="true">H30+M30+N30+O30</s:f>
        <s:v>6480</s:v>
      </s:c>
      <s:c r="Q30"/>
      <s:c r="U30" s="1"/>
      <s:c r="V30"/>
    </s:row>
    <s:row x14ac:dyDescent="0.25" r="31" spans="1:22" ht="15.75" customHeight="1">
      <s:c r="A31" s="46"/>
      <s:c r="B31" s="46"/>
      <s:c r="C31" s="17" t="s">
        <s:v>41</s:v>
      </s:c>
      <s:c r="D31" s="17" t="s">
        <s:v>42</s:v>
      </s:c>
      <s:c r="E31" s="17" t="s">
        <s:v>37</s:v>
      </s:c>
      <s:c r="F31" s="17">
        <s:v>3</s:v>
      </s:c>
      <s:c r="G31" s="17">
        <s:v>4500</s:v>
      </s:c>
      <s:c r="H31" s="17">
        <s:f validation_="true">F31*G31</s:f>
        <s:v>13500</s:v>
      </s:c>
      <s:c r="I31" s="17"/>
      <s:c r="J31" s="17"/>
      <s:c r="K31" s="17"/>
      <s:c r="L31" s="17"/>
      <s:c r="M31" s="17"/>
      <s:c r="N31" s="17"/>
      <s:c r="O31" s="17"/>
      <s:c r="P31" s="17">
        <s:f validation_="true">H31+M31+N31+O31</s:f>
        <s:v>13500</s:v>
      </s:c>
      <s:c r="Q31"/>
      <s:c r="U31" s="1"/>
      <s:c r="V31"/>
    </s:row>
    <s:row x14ac:dyDescent="0.25" r="32" spans="1:22" ht="15.75" customHeight="1">
      <s:c r="A32" s="46"/>
      <s:c r="B32" s="46"/>
      <s:c r="C32" s="17" t="s">
        <s:v>43</s:v>
      </s:c>
      <s:c r="D32" s="17" t="s">
        <s:v>44</s:v>
      </s:c>
      <s:c r="E32" s="17" t="s">
        <s:v>37</s:v>
      </s:c>
      <s:c r="F32" s="17">
        <s:v>2</s:v>
      </s:c>
      <s:c r="G32" s="17">
        <s:v>8000</s:v>
      </s:c>
      <s:c r="H32" s="17">
        <s:f validation_="true">F32*G32</s:f>
        <s:v>16000</s:v>
      </s:c>
      <s:c r="I32" s="17"/>
      <s:c r="J32" s="17"/>
      <s:c r="K32" s="17"/>
      <s:c r="L32" s="17"/>
      <s:c r="M32" s="17"/>
      <s:c r="N32" s="17"/>
      <s:c r="O32" s="17"/>
      <s:c r="P32" s="17">
        <s:f validation_="true">H32+M32+N32+O32</s:f>
        <s:v>16000</s:v>
      </s:c>
      <s:c r="Q32"/>
      <s:c r="U32" s="1"/>
      <s:c r="V32"/>
    </s:row>
    <s:row x14ac:dyDescent="0.25" r="33" spans="1:22" ht="15.75" customHeight="1">
      <s:c r="A33" s="46"/>
      <s:c r="B33" s="46"/>
      <s:c r="C33" s="17" t="s">
        <s:v>74</s:v>
      </s:c>
      <s:c r="D33" s="17" t="s">
        <s:v>75</s:v>
      </s:c>
      <s:c r="E33" s="17" t="s">
        <s:v>37</s:v>
      </s:c>
      <s:c r="F33" s="17">
        <s:v>3</s:v>
      </s:c>
      <s:c r="G33" s="17">
        <s:v>9000</s:v>
      </s:c>
      <s:c r="H33" s="17">
        <s:f validation_="true">F33*G33</s:f>
        <s:v>27000</s:v>
      </s:c>
      <s:c r="I33" s="17"/>
      <s:c r="J33" s="17"/>
      <s:c r="K33" s="17"/>
      <s:c r="L33" s="17"/>
      <s:c r="M33" s="17"/>
      <s:c r="N33" s="17"/>
      <s:c r="O33" s="17"/>
      <s:c r="P33" s="17">
        <s:f validation_="true">H33+M33+N33+O33</s:f>
        <s:v>27000</s:v>
      </s:c>
      <s:c r="Q33"/>
      <s:c r="U33" s="1"/>
      <s:c r="V33"/>
    </s:row>
    <s:row x14ac:dyDescent="0.25" r="34" spans="1:22" ht="15.75" customHeight="1">
      <s:c r="A34" s="46"/>
      <s:c r="B34" s="46"/>
      <s:c r="C34" s="17" t="s">
        <s:v>47</s:v>
      </s:c>
      <s:c r="D34" s="17" t="s">
        <s:v>48</s:v>
      </s:c>
      <s:c r="E34" s="17" t="s">
        <s:v>49</s:v>
      </s:c>
      <s:c r="F34" s="17">
        <s:v>60</s:v>
      </s:c>
      <s:c r="G34" s="17">
        <s:v>450</s:v>
      </s:c>
      <s:c r="H34" s="17">
        <s:f validation_="true">F34*G34</s:f>
        <s:v>27000</s:v>
      </s:c>
      <s:c r="I34" s="17"/>
      <s:c r="J34" s="17"/>
      <s:c r="K34" s="17"/>
      <s:c r="L34" s="17"/>
      <s:c r="M34" s="17"/>
      <s:c r="N34" s="17"/>
      <s:c r="O34" s="17"/>
      <s:c r="P34" s="17">
        <s:f validation_="true">H34+M34+N34+O34</s:f>
        <s:v>27000</s:v>
      </s:c>
      <s:c r="Q34"/>
      <s:c r="U34" s="1"/>
      <s:c r="V34"/>
    </s:row>
    <s:row x14ac:dyDescent="0.25" r="35" spans="1:22" ht="15.75" customHeight="1">
      <s:c r="A35" s="46"/>
      <s:c r="B35" s="46"/>
      <s:c r="C35" s="17" t="s">
        <s:v>76</s:v>
      </s:c>
      <s:c r="D35" s="17" t="s">
        <s:v>77</s:v>
      </s:c>
      <s:c r="E35" s="17" t="s">
        <s:v>49</s:v>
      </s:c>
      <s:c r="F35" s="17">
        <s:v>80</s:v>
      </s:c>
      <s:c r="G35" s="17">
        <s:v>580</s:v>
      </s:c>
      <s:c r="H35" s="17">
        <s:f validation_="true">F35*G35</s:f>
        <s:v>46400</s:v>
      </s:c>
      <s:c r="I35" s="17"/>
      <s:c r="J35" s="17"/>
      <s:c r="K35" s="17"/>
      <s:c r="L35" s="17"/>
      <s:c r="M35" s="17"/>
      <s:c r="N35" s="17"/>
      <s:c r="O35" s="17"/>
      <s:c r="P35" s="17">
        <s:f validation_="true">H35+M35+N35+O35</s:f>
        <s:v>46400</s:v>
      </s:c>
      <s:c r="Q35"/>
      <s:c r="U35" s="1"/>
      <s:c r="V35"/>
    </s:row>
    <s:row x14ac:dyDescent="0.25" r="36" spans="1:22" ht="15.75" customHeight="1">
      <s:c r="A36" s="46"/>
      <s:c r="B36" s="46"/>
      <s:c r="C36" s="17" t="s">
        <s:v>52</s:v>
      </s:c>
      <s:c r="D36" s="17" t="s">
        <s:v>53</s:v>
      </s:c>
      <s:c r="E36" s="17" t="s">
        <s:v>54</s:v>
      </s:c>
      <s:c r="F36" s="17">
        <s:v>8</s:v>
      </s:c>
      <s:c r="G36" s="17">
        <s:v>850</s:v>
      </s:c>
      <s:c r="H36" s="17">
        <s:f validation_="true">F36*G36</s:f>
        <s:v>6800</s:v>
      </s:c>
      <s:c r="I36" s="17"/>
      <s:c r="J36" s="17"/>
      <s:c r="K36" s="17"/>
      <s:c r="L36" s="17"/>
      <s:c r="M36" s="17"/>
      <s:c r="N36" s="17"/>
      <s:c r="O36" s="17"/>
      <s:c r="P36" s="17">
        <s:f validation_="true">H36+M36+N36+O36</s:f>
        <s:v>6800</s:v>
      </s:c>
      <s:c r="Q36"/>
      <s:c r="U36" s="1"/>
      <s:c r="V36"/>
    </s:row>
    <s:row x14ac:dyDescent="0.25" r="37" spans="1:22" ht="15.75" customHeight="1">
      <s:c r="A37" s="46"/>
      <s:c r="B37" s="46"/>
      <s:c r="C37" s="17" t="s">
        <s:v>78</s:v>
      </s:c>
      <s:c r="D37" s="17" t="s">
        <s:v>79</s:v>
      </s:c>
      <s:c r="E37" s="17" t="s">
        <s:v>34</s:v>
      </s:c>
      <s:c r="F37" s="17">
        <s:v>55</s:v>
      </s:c>
      <s:c r="G37" s="17">
        <s:v>380</s:v>
      </s:c>
      <s:c r="H37" s="17">
        <s:f validation_="true">F37*G37</s:f>
        <s:v>20900</s:v>
      </s:c>
      <s:c r="I37" s="17"/>
      <s:c r="J37" s="17"/>
      <s:c r="K37" s="17"/>
      <s:c r="L37" s="17"/>
      <s:c r="M37" s="17"/>
      <s:c r="N37" s="17"/>
      <s:c r="O37" s="17"/>
      <s:c r="P37" s="17">
        <s:f validation_="true">H37+M37+N37+O37</s:f>
        <s:v>20900</s:v>
      </s:c>
      <s:c r="Q37"/>
      <s:c r="U37" s="1"/>
      <s:c r="V37"/>
    </s:row>
    <s:row x14ac:dyDescent="0.25" r="38" spans="1:22" ht="15.75" customHeight="1">
      <s:c r="A38" s="46"/>
      <s:c r="B38" s="46"/>
      <s:c r="C38" s="17"/>
      <s:c r="D38" s="17"/>
      <s:c r="E38" s="17"/>
      <s:c r="F38" s="17"/>
      <s:c r="G38" s="17"/>
      <s:c r="H38" s="17"/>
      <s:c r="I38" s="17"/>
      <s:c r="J38" s="17"/>
      <s:c r="K38" s="17"/>
      <s:c r="L38" s="17"/>
      <s:c r="M38" s="17"/>
      <s:c r="N38" s="17"/>
      <s:c r="O38" s="17"/>
      <s:c r="P38" s="17"/>
      <s:c r="Q38"/>
      <s:c r="U38" s="1"/>
      <s:c r="V38"/>
    </s:row>
    <s:row x14ac:dyDescent="0.25" r="39" spans="1:22" ht="15.75" customHeight="1">
      <s:c r="A39" s="46"/>
      <s:c r="B39" s="46"/>
      <s:c r="C39" s="17"/>
      <s:c r="D39" s="17"/>
      <s:c r="E39" s="17"/>
      <s:c r="F39" s="17"/>
      <s:c r="G39" s="17"/>
      <s:c r="H39" s="17"/>
      <s:c r="I39" s="17"/>
      <s:c r="J39" s="17"/>
      <s:c r="K39" s="17"/>
      <s:c r="L39" s="17"/>
      <s:c r="M39" s="17"/>
      <s:c r="N39" s="17"/>
      <s:c r="O39" s="17"/>
      <s:c r="P39" s="17"/>
      <s:c r="Q39"/>
      <s:c r="U39" s="1"/>
      <s:c r="V39"/>
    </s:row>
    <s:row x14ac:dyDescent="0.25" r="40" spans="1:22" ht="15.75" customHeight="1">
      <s:c r="A40" s="46"/>
      <s:c r="B40" s="46"/>
      <s:c r="C40" s="17"/>
      <s:c r="D40" s="17"/>
      <s:c r="E40" s="17"/>
      <s:c r="F40" s="17"/>
      <s:c r="G40" s="17"/>
      <s:c r="H40" s="17"/>
      <s:c r="I40" s="17"/>
      <s:c r="J40" s="17"/>
      <s:c r="K40" s="17"/>
      <s:c r="L40" s="17"/>
      <s:c r="M40" s="17"/>
      <s:c r="N40" s="17"/>
      <s:c r="O40" s="17"/>
      <s:c r="P40" s="17"/>
      <s:c r="Q40"/>
      <s:c r="U40" s="1"/>
      <s:c r="V40"/>
    </s:row>
    <s:row x14ac:dyDescent="0.25" r="41" spans="1:22" ht="15.75" customHeight="1">
      <s:c r="A41" s="47" t="s">
        <s:v>55</s:v>
      </s:c>
      <s:c r="B41" s="17"/>
      <s:c r="C41" s="17"/>
      <s:c r="D41" s="17"/>
      <s:c r="E41" s="17"/>
      <s:c r="F41" s="17"/>
      <s:c r="G41" s="17"/>
      <s:c r="H41" s="47">
        <s:f>SUM(H27:H37)</s:f>
        <s:v>364016</s:v>
      </s:c>
      <s:c r="I41" s="17"/>
      <s:c r="J41" s="17"/>
      <s:c r="K41" s="17"/>
      <s:c r="L41" s="17"/>
      <s:c r="M41" s="47">
        <s:f>SUM(M27:M31)</s:f>
        <s:v>48204.503956177723</s:v>
      </s:c>
      <s:c r="N41" s="47">
        <s:f>SUM(N27:N31)</s:f>
        <s:v>14557.760194765673</s:v>
      </s:c>
      <s:c r="O41" s="47">
        <s:f>SUM(O27:O31)</s:f>
        <s:v>125524.52830188678</s:v>
      </s:c>
      <s:c r="P41" s="47">
        <s:f>SUM(P27:P37)</s:f>
        <s:v>552302.79245283012</s:v>
      </s:c>
      <s:c r="Q41"/>
      <s:c r="U41" s="1"/>
      <s:c r="V41"/>
    </s:row>
    <s:row x14ac:dyDescent="0.25" r="42" spans="1:22" ht="15.75" customHeight="1">
      <s:c r="A42" s="32" t="s">
        <s:v>80</s:v>
      </s:c>
      <s:c r="B42" s="31" t="s">
        <s:v>81</s:v>
      </s:c>
      <s:c r="C42" s="17" t="s">
        <s:v>58</s:v>
      </s:c>
      <s:c r="D42" s="17" t="s">
        <s:v>59</s:v>
      </s:c>
      <s:c r="E42" s="17" t="s">
        <s:v>30</s:v>
      </s:c>
      <s:c r="F42" s="17">
        <s:v>85</s:v>
      </s:c>
      <s:c r="G42" s="17">
        <s:v>320</s:v>
      </s:c>
      <s:c r="H42" s="17">
        <s:f validation_="true">F42*G42</s:f>
        <s:v>27200</s:v>
      </s:c>
      <s:c r="I42" s="17" t="s">
        <s:v>31</s:v>
      </s:c>
      <s:c r="J42" s="17">
        <s:v>85000</s:v>
      </s:c>
      <s:c r="K42" s="17">
        <s:f>J42/164.3</s:f>
        <s:v>517.34631771150327</s:v>
      </s:c>
      <s:c r="L42" s="17">
        <s:v>24</s:v>
      </s:c>
      <s:c r="M42" s="17">
        <s:f>K42*L42</s:f>
        <s:v>12416.31162507608</s:v>
      </s:c>
      <s:c r="N42" s="17">
        <s:f>M42*0.302</s:f>
        <s:v>3749.726110772976</s:v>
      </s:c>
      <s:c r="O42" s="17">
        <s:f>(M42+N42)*2</s:f>
        <s:v>32332.07547169811</s:v>
      </s:c>
      <s:c r="P42" s="17">
        <s:f validation_="true">H42+M42+N42+O42</s:f>
        <s:v>75698.113207547169</s:v>
      </s:c>
      <s:c r="Q42"/>
      <s:c r="U42" s="1"/>
      <s:c r="V42"/>
    </s:row>
    <s:row x14ac:dyDescent="0.25" r="43" spans="1:22" ht="15.75" customHeight="1">
      <s:c r="A43" s="46"/>
      <s:c r="B43" s="46"/>
      <s:c r="C43" s="17" t="s">
        <s:v>72</s:v>
      </s:c>
      <s:c r="D43" s="17" t="s">
        <s:v>73</s:v>
      </s:c>
      <s:c r="E43" s="17" t="s">
        <s:v>34</s:v>
      </s:c>
      <s:c r="F43" s="17">
        <s:v>6</s:v>
      </s:c>
      <s:c r="G43" s="17">
        <s:v>820</s:v>
      </s:c>
      <s:c r="H43" s="17">
        <s:f validation_="true">F43*G43</s:f>
        <s:v>4920</s:v>
      </s:c>
      <s:c r="I43" s="17" t="s">
        <s:v>66</s:v>
      </s:c>
      <s:c r="J43" s="17">
        <s:v>72000</s:v>
      </s:c>
      <s:c r="K43" s="17">
        <s:f>J43/164.3</s:f>
        <s:v>438.22276323797928</s:v>
      </s:c>
      <s:c r="L43" s="17">
        <s:v>4</s:v>
      </s:c>
      <s:c r="M43" s="17">
        <s:f>K43*L43</s:f>
        <s:v>1752.8910529519171</s:v>
      </s:c>
      <s:c r="N43" s="17">
        <s:f>M43*0.302</s:f>
        <s:v>529.37309799147897</s:v>
      </s:c>
      <s:c r="O43" s="17">
        <s:f>(M43+N43)*2</s:f>
        <s:v>4564.5283018867922</s:v>
      </s:c>
      <s:c r="P43" s="17">
        <s:f validation_="true">H43+M43+N43+O43</s:f>
        <s:v>11766.792452830188</s:v>
      </s:c>
      <s:c r="Q43"/>
      <s:c r="U43" s="1"/>
      <s:c r="V43"/>
    </s:row>
    <s:row x14ac:dyDescent="0.25" r="44" spans="1:22" ht="15.75" customHeight="1">
      <s:c r="A44" s="46"/>
      <s:c r="B44" s="46"/>
      <s:c r="C44" s="17" t="s">
        <s:v>35</s:v>
      </s:c>
      <s:c r="D44" s="17" t="s">
        <s:v>36</s:v>
      </s:c>
      <s:c r="E44" s="17" t="s">
        <s:v>37</s:v>
      </s:c>
      <s:c r="F44" s="17">
        <s:v>12</s:v>
      </s:c>
      <s:c r="G44" s="17">
        <s:v>212</s:v>
      </s:c>
      <s:c r="H44" s="17">
        <s:f validation_="true">F44*G44</s:f>
        <s:v>2544</s:v>
      </s:c>
      <s:c r="I44" s="17" t="s">
        <s:v>38</s:v>
      </s:c>
      <s:c r="J44" s="17">
        <s:v>88000</s:v>
      </s:c>
      <s:c r="K44" s="17">
        <s:f>J44/164.3</s:f>
        <s:v>535.60559951308574</s:v>
      </s:c>
      <s:c r="L44" s="17">
        <s:v>4</s:v>
      </s:c>
      <s:c r="M44" s="17">
        <s:f>K44*L44</s:f>
        <s:v>2142.4223980523429</s:v>
      </s:c>
      <s:c r="N44" s="17">
        <s:f>M44*0.302</s:f>
        <s:v>647.01156421180758</s:v>
      </s:c>
      <s:c r="O44" s="17">
        <s:f>(M44+N44)*2</s:f>
        <s:v>5578.867924528301</s:v>
      </s:c>
      <s:c r="P44" s="17">
        <s:f validation_="true">H44+M44+N44+O44</s:f>
        <s:v>10912.301886792451</s:v>
      </s:c>
      <s:c r="Q44"/>
      <s:c r="U44" s="1"/>
      <s:c r="V44"/>
    </s:row>
    <s:row x14ac:dyDescent="0.25" r="45" spans="1:22" ht="15.75" customHeight="1">
      <s:c r="A45" s="46"/>
      <s:c r="B45" s="46"/>
      <s:c r="C45" s="17" t="s">
        <s:v>39</s:v>
      </s:c>
      <s:c r="D45" s="17" t="s">
        <s:v>40</s:v>
      </s:c>
      <s:c r="E45" s="17" t="s">
        <s:v>37</s:v>
      </s:c>
      <s:c r="F45" s="17">
        <s:v>6</s:v>
      </s:c>
      <s:c r="G45" s="17">
        <s:v>120</s:v>
      </s:c>
      <s:c r="H45" s="17">
        <s:f validation_="true">F45*G45</s:f>
        <s:v>720</s:v>
      </s:c>
      <s:c r="I45" s="17"/>
      <s:c r="J45" s="17"/>
      <s:c r="K45" s="17"/>
      <s:c r="L45" s="17"/>
      <s:c r="M45" s="17"/>
      <s:c r="N45" s="17"/>
      <s:c r="O45" s="17"/>
      <s:c r="P45" s="17">
        <s:f validation_="true">H45+M45+N45+O45</s:f>
        <s:v>720</s:v>
      </s:c>
      <s:c r="Q45"/>
      <s:c r="U45" s="1"/>
      <s:c r="V45"/>
    </s:row>
    <s:row x14ac:dyDescent="0.25" r="46" spans="1:22" ht="15.75" customHeight="1">
      <s:c r="A46" s="46"/>
      <s:c r="B46" s="46"/>
      <s:c r="C46" s="17" t="s">
        <s:v>41</s:v>
      </s:c>
      <s:c r="D46" s="17" t="s">
        <s:v>42</s:v>
      </s:c>
      <s:c r="E46" s="17" t="s">
        <s:v>37</s:v>
      </s:c>
      <s:c r="F46" s="17">
        <s:v>1</s:v>
      </s:c>
      <s:c r="G46" s="17">
        <s:v>4500</s:v>
      </s:c>
      <s:c r="H46" s="17">
        <s:f validation_="true">F46*G46</s:f>
        <s:v>4500</s:v>
      </s:c>
      <s:c r="I46" s="17"/>
      <s:c r="J46" s="17"/>
      <s:c r="K46" s="17"/>
      <s:c r="L46" s="17"/>
      <s:c r="M46" s="17"/>
      <s:c r="N46" s="17"/>
      <s:c r="O46" s="17"/>
      <s:c r="P46" s="17">
        <s:f validation_="true">H46+M46+N46+O46</s:f>
        <s:v>4500</s:v>
      </s:c>
      <s:c r="Q46"/>
      <s:c r="U46" s="1"/>
      <s:c r="V46"/>
    </s:row>
    <s:row x14ac:dyDescent="0.25" r="47" spans="1:22" ht="15.75" customHeight="1">
      <s:c r="A47" s="46"/>
      <s:c r="B47" s="46"/>
      <s:c r="C47" s="17" t="s">
        <s:v>43</s:v>
      </s:c>
      <s:c r="D47" s="17" t="s">
        <s:v>44</s:v>
      </s:c>
      <s:c r="E47" s="17" t="s">
        <s:v>37</s:v>
      </s:c>
      <s:c r="F47" s="17">
        <s:v>1</s:v>
      </s:c>
      <s:c r="G47" s="17">
        <s:v>8000</s:v>
      </s:c>
      <s:c r="H47" s="17">
        <s:f validation_="true">F47*G47</s:f>
        <s:v>8000</s:v>
      </s:c>
      <s:c r="I47" s="17"/>
      <s:c r="J47" s="17"/>
      <s:c r="K47" s="17"/>
      <s:c r="L47" s="17"/>
      <s:c r="M47" s="17"/>
      <s:c r="N47" s="17"/>
      <s:c r="O47" s="17"/>
      <s:c r="P47" s="17">
        <s:f validation_="true">H47+M47+N47+O47</s:f>
        <s:v>8000</s:v>
      </s:c>
      <s:c r="Q47"/>
      <s:c r="U47" s="1"/>
      <s:c r="V47"/>
    </s:row>
    <s:row x14ac:dyDescent="0.25" r="48" spans="1:22" ht="15.75" customHeight="1">
      <s:c r="A48" s="46"/>
      <s:c r="B48" s="46"/>
      <s:c r="C48" s="17" t="s">
        <s:v>45</s:v>
      </s:c>
      <s:c r="D48" s="17" t="s">
        <s:v>46</s:v>
      </s:c>
      <s:c r="E48" s="17" t="s">
        <s:v>37</s:v>
      </s:c>
      <s:c r="F48" s="17">
        <s:v>1</s:v>
      </s:c>
      <s:c r="G48" s="17">
        <s:v>5000</s:v>
      </s:c>
      <s:c r="H48" s="17">
        <s:f validation_="true">F48*G48</s:f>
        <s:v>5000</s:v>
      </s:c>
      <s:c r="I48" s="17"/>
      <s:c r="J48" s="17"/>
      <s:c r="K48" s="17"/>
      <s:c r="L48" s="17"/>
      <s:c r="M48" s="17"/>
      <s:c r="N48" s="17"/>
      <s:c r="O48" s="17"/>
      <s:c r="P48" s="17">
        <s:f validation_="true">H48+M48+N48+O48</s:f>
        <s:v>5000</s:v>
      </s:c>
      <s:c r="Q48"/>
      <s:c r="U48" s="1"/>
      <s:c r="V48"/>
    </s:row>
    <s:row x14ac:dyDescent="0.25" r="49" spans="1:22" ht="15.75" customHeight="1">
      <s:c r="A49" s="46"/>
      <s:c r="B49" s="46"/>
      <s:c r="C49" s="17" t="s">
        <s:v>47</s:v>
      </s:c>
      <s:c r="D49" s="17" t="s">
        <s:v>48</s:v>
      </s:c>
      <s:c r="E49" s="17" t="s">
        <s:v>49</s:v>
      </s:c>
      <s:c r="F49" s="17">
        <s:v>15</s:v>
      </s:c>
      <s:c r="G49" s="17">
        <s:v>450</s:v>
      </s:c>
      <s:c r="H49" s="17">
        <s:f validation_="true">F49*G49</s:f>
        <s:v>6750</s:v>
      </s:c>
      <s:c r="I49" s="17"/>
      <s:c r="J49" s="17"/>
      <s:c r="K49" s="17"/>
      <s:c r="L49" s="17"/>
      <s:c r="M49" s="17"/>
      <s:c r="N49" s="17"/>
      <s:c r="O49" s="17"/>
      <s:c r="P49" s="17">
        <s:f validation_="true">H49+M49+N49+O49</s:f>
        <s:v>6750</s:v>
      </s:c>
      <s:c r="Q49"/>
      <s:c r="U49" s="1"/>
      <s:c r="V49"/>
    </s:row>
    <s:row x14ac:dyDescent="0.25" r="50" spans="1:22" ht="15.75" customHeight="1">
      <s:c r="A50" s="46"/>
      <s:c r="B50" s="46"/>
      <s:c r="C50" s="17" t="s">
        <s:v>50</s:v>
      </s:c>
      <s:c r="D50" s="17" t="s">
        <s:v>51</s:v>
      </s:c>
      <s:c r="E50" s="17" t="s">
        <s:v>49</s:v>
      </s:c>
      <s:c r="F50" s="17">
        <s:v>20</s:v>
      </s:c>
      <s:c r="G50" s="17">
        <s:v>380</s:v>
      </s:c>
      <s:c r="H50" s="17">
        <s:f validation_="true">F50*G50</s:f>
        <s:v>7600</s:v>
      </s:c>
      <s:c r="I50" s="17"/>
      <s:c r="J50" s="17"/>
      <s:c r="K50" s="17"/>
      <s:c r="L50" s="17"/>
      <s:c r="M50" s="17"/>
      <s:c r="N50" s="17"/>
      <s:c r="O50" s="17"/>
      <s:c r="P50" s="17">
        <s:f validation_="true">H50+M50+N50+O50</s:f>
        <s:v>7600</s:v>
      </s:c>
      <s:c r="Q50"/>
      <s:c r="U50" s="1"/>
      <s:c r="V50"/>
    </s:row>
    <s:row x14ac:dyDescent="0.25" r="51" spans="1:22" ht="15.75" customHeight="1">
      <s:c r="A51" s="46"/>
      <s:c r="B51" s="46"/>
      <s:c r="C51" s="17" t="s">
        <s:v>52</s:v>
      </s:c>
      <s:c r="D51" s="17" t="s">
        <s:v>53</s:v>
      </s:c>
      <s:c r="E51" s="17" t="s">
        <s:v>54</s:v>
      </s:c>
      <s:c r="F51" s="17">
        <s:v>2</s:v>
      </s:c>
      <s:c r="G51" s="17">
        <s:v>850</s:v>
      </s:c>
      <s:c r="H51" s="17">
        <s:f validation_="true">F51*G51</s:f>
        <s:v>1700</s:v>
      </s:c>
      <s:c r="I51" s="17"/>
      <s:c r="J51" s="17"/>
      <s:c r="K51" s="17"/>
      <s:c r="L51" s="17"/>
      <s:c r="M51" s="17"/>
      <s:c r="N51" s="17"/>
      <s:c r="O51" s="17"/>
      <s:c r="P51" s="17">
        <s:f validation_="true">H51+M51+N51+O51</s:f>
        <s:v>1700</s:v>
      </s:c>
      <s:c r="Q51"/>
      <s:c r="U51" s="1"/>
      <s:c r="V51"/>
    </s:row>
    <s:row x14ac:dyDescent="0.25" r="52" spans="1:22" ht="15.75" customHeight="1">
      <s:c r="A52" s="46"/>
      <s:c r="B52" s="46"/>
      <s:c r="C52" s="17" t="s">
        <s:v>82</s:v>
      </s:c>
      <s:c r="D52" s="17" t="s">
        <s:v>83</s:v>
      </s:c>
      <s:c r="E52" s="17" t="s">
        <s:v>49</s:v>
      </s:c>
      <s:c r="F52" s="17">
        <s:v>8</s:v>
      </s:c>
      <s:c r="G52" s="17">
        <s:v>450</s:v>
      </s:c>
      <s:c r="H52" s="17">
        <s:f validation_="true">F52*G52</s:f>
        <s:v>3600</s:v>
      </s:c>
      <s:c r="I52" s="17"/>
      <s:c r="J52" s="17"/>
      <s:c r="K52" s="17"/>
      <s:c r="L52" s="17"/>
      <s:c r="M52" s="17"/>
      <s:c r="N52" s="17"/>
      <s:c r="O52" s="17"/>
      <s:c r="P52" s="17">
        <s:f validation_="true">H52+M52+N52+O52</s:f>
        <s:v>3600</s:v>
      </s:c>
      <s:c r="Q52"/>
      <s:c r="U52" s="1"/>
      <s:c r="V52"/>
    </s:row>
    <s:row x14ac:dyDescent="0.25" r="53" spans="1:22" ht="15.75" customHeight="1">
      <s:c r="A53" s="46"/>
      <s:c r="B53" s="46"/>
      <s:c r="C53" s="17" t="s">
        <s:v>84</s:v>
      </s:c>
      <s:c r="D53" s="17" t="s">
        <s:v>85</s:v>
      </s:c>
      <s:c r="E53" s="17" t="s">
        <s:v>37</s:v>
      </s:c>
      <s:c r="F53" s="17">
        <s:v>4</s:v>
      </s:c>
      <s:c r="G53" s="17">
        <s:v>380</s:v>
      </s:c>
      <s:c r="H53" s="17">
        <s:f validation_="true">F53*G53</s:f>
        <s:v>1520</s:v>
      </s:c>
      <s:c r="I53" s="17"/>
      <s:c r="J53" s="17"/>
      <s:c r="K53" s="17"/>
      <s:c r="L53" s="17"/>
      <s:c r="M53" s="17"/>
      <s:c r="N53" s="17"/>
      <s:c r="O53" s="17"/>
      <s:c r="P53" s="17">
        <s:f validation_="true">H53+M53+N53+O53</s:f>
        <s:v>1520</s:v>
      </s:c>
      <s:c r="Q53"/>
      <s:c r="U53" s="1"/>
      <s:c r="V53"/>
    </s:row>
    <s:row x14ac:dyDescent="0.25" r="54" spans="1:22" ht="15.75" customHeight="1">
      <s:c r="A54" s="46"/>
      <s:c r="B54" s="46"/>
      <s:c r="C54" s="17" t="s">
        <s:v>78</s:v>
      </s:c>
      <s:c r="D54" s="17" t="s">
        <s:v>79</s:v>
      </s:c>
      <s:c r="E54" s="17" t="s">
        <s:v>34</s:v>
      </s:c>
      <s:c r="F54" s="17">
        <s:v>7</s:v>
      </s:c>
      <s:c r="G54" s="17">
        <s:v>380</s:v>
      </s:c>
      <s:c r="H54" s="17">
        <s:f validation_="true">F54*G54</s:f>
        <s:v>2660</s:v>
      </s:c>
      <s:c r="I54" s="17"/>
      <s:c r="J54" s="17"/>
      <s:c r="K54" s="17"/>
      <s:c r="L54" s="17"/>
      <s:c r="M54" s="17"/>
      <s:c r="N54" s="17"/>
      <s:c r="O54" s="17"/>
      <s:c r="P54" s="17">
        <s:f validation_="true">H54+M54+N54+O54</s:f>
        <s:v>2660</s:v>
      </s:c>
      <s:c r="Q54"/>
      <s:c r="U54" s="1"/>
      <s:c r="V54"/>
    </s:row>
    <s:row x14ac:dyDescent="0.25" r="55" spans="1:22" ht="15.75" customHeight="1">
      <s:c r="A55" s="46"/>
      <s:c r="B55" s="46"/>
      <s:c r="C55" s="17"/>
      <s:c r="D55" s="17"/>
      <s:c r="E55" s="17"/>
      <s:c r="F55" s="17"/>
      <s:c r="G55" s="17"/>
      <s:c r="H55" s="17"/>
      <s:c r="I55" s="17"/>
      <s:c r="J55" s="17"/>
      <s:c r="K55" s="17"/>
      <s:c r="L55" s="17"/>
      <s:c r="M55" s="17"/>
      <s:c r="N55" s="17"/>
      <s:c r="O55" s="17"/>
      <s:c r="P55" s="17"/>
      <s:c r="Q55"/>
      <s:c r="U55" s="1"/>
      <s:c r="V55"/>
    </s:row>
    <s:row x14ac:dyDescent="0.25" r="56" spans="1:22" ht="15.75" customHeight="1">
      <s:c r="A56" s="46"/>
      <s:c r="B56" s="46"/>
      <s:c r="C56" s="17"/>
      <s:c r="D56" s="17"/>
      <s:c r="E56" s="17"/>
      <s:c r="F56" s="17"/>
      <s:c r="G56" s="17"/>
      <s:c r="H56" s="17"/>
      <s:c r="I56" s="17"/>
      <s:c r="J56" s="17"/>
      <s:c r="K56" s="17"/>
      <s:c r="L56" s="17"/>
      <s:c r="M56" s="17"/>
      <s:c r="N56" s="17"/>
      <s:c r="O56" s="17"/>
      <s:c r="P56" s="17"/>
      <s:c r="Q56"/>
      <s:c r="U56" s="1"/>
      <s:c r="V56"/>
    </s:row>
    <s:row x14ac:dyDescent="0.25" r="57" spans="1:22" ht="15.75" customHeight="1">
      <s:c r="A57" s="46"/>
      <s:c r="B57" s="46"/>
      <s:c r="C57" s="17"/>
      <s:c r="D57" s="17"/>
      <s:c r="E57" s="17"/>
      <s:c r="F57" s="17"/>
      <s:c r="G57" s="17"/>
      <s:c r="H57" s="17"/>
      <s:c r="I57" s="17"/>
      <s:c r="J57" s="17"/>
      <s:c r="K57" s="17"/>
      <s:c r="L57" s="17"/>
      <s:c r="M57" s="17"/>
      <s:c r="N57" s="17"/>
      <s:c r="O57" s="17"/>
      <s:c r="P57" s="17"/>
      <s:c r="Q57"/>
      <s:c r="U57" s="1"/>
      <s:c r="V57"/>
    </s:row>
    <s:row x14ac:dyDescent="0.25" r="58" spans="1:22" ht="15.75" customHeight="1">
      <s:c r="A58" s="47" t="s">
        <s:v>55</s:v>
      </s:c>
      <s:c r="B58" s="17"/>
      <s:c r="C58" s="17"/>
      <s:c r="D58" s="17"/>
      <s:c r="E58" s="17"/>
      <s:c r="F58" s="17"/>
      <s:c r="G58" s="17"/>
      <s:c r="H58" s="47">
        <s:f>SUM(H42:H54)</s:f>
        <s:v>76714</s:v>
      </s:c>
      <s:c r="I58" s="17"/>
      <s:c r="J58" s="17"/>
      <s:c r="K58" s="17"/>
      <s:c r="L58" s="17"/>
      <s:c r="M58" s="47">
        <s:f>SUM(M42:M46)</s:f>
        <s:v>16311.625076080338</s:v>
      </s:c>
      <s:c r="N58" s="47">
        <s:f>SUM(N42:N46)</s:f>
        <s:v>4926.1107729762625</s:v>
      </s:c>
      <s:c r="O58" s="47">
        <s:f>SUM(O42:O46)</s:f>
        <s:v>42475.471698113201</s:v>
      </s:c>
      <s:c r="P58" s="47">
        <s:f>SUM(P42:P54)</s:f>
        <s:v>140427.20754716982</s:v>
      </s:c>
      <s:c r="Q58"/>
      <s:c r="U58" s="1"/>
      <s:c r="V58"/>
    </s:row>
    <s:row x14ac:dyDescent="0.25" r="59" spans="1:22" ht="15.75" customHeight="1">
      <s:c r="A59" s="32" t="s">
        <s:v>86</s:v>
      </s:c>
      <s:c r="B59" s="31" t="s">
        <s:v>87</s:v>
      </s:c>
      <s:c r="C59" s="17" t="s">
        <s:v>88</s:v>
      </s:c>
      <s:c r="D59" s="17" t="s">
        <s:v>89</s:v>
      </s:c>
      <s:c r="E59" s="17" t="s">
        <s:v>30</s:v>
      </s:c>
      <s:c r="F59" s="17">
        <s:v>510</s:v>
      </s:c>
      <s:c r="G59" s="17">
        <s:v>650</s:v>
      </s:c>
      <s:c r="H59" s="17">
        <s:f>F59*G59</s:f>
        <s:v>331500</s:v>
      </s:c>
      <s:c r="I59" s="17" t="s">
        <s:v>90</s:v>
      </s:c>
      <s:c r="J59" s="17">
        <s:v>88000</s:v>
      </s:c>
      <s:c r="K59" s="17">
        <s:f>J59/164.3</s:f>
        <s:v>535.60559951308574</s:v>
      </s:c>
      <s:c r="L59" s="17">
        <s:v>68</s:v>
      </s:c>
      <s:c r="M59" s="17">
        <s:f>K59*L59</s:f>
        <s:v>36421.180766889833</s:v>
      </s:c>
      <s:c r="N59" s="17">
        <s:f>M59*0.302</s:f>
        <s:v>10999.196591600728</s:v>
      </s:c>
      <s:c r="O59" s="17">
        <s:f>(M59+N59)*2</s:f>
        <s:v>94840.754716981115</s:v>
      </s:c>
      <s:c r="P59" s="17">
        <s:f>H59+M59+N59+O59</s:f>
        <s:v>473761.13207547169</s:v>
      </s:c>
      <s:c r="Q59"/>
      <s:c r="U59" s="1"/>
      <s:c r="V59"/>
    </s:row>
    <s:row x14ac:dyDescent="0.25" r="60" spans="1:22" ht="15.75" customHeight="1">
      <s:c r="A60" s="46"/>
      <s:c r="B60" s="46"/>
      <s:c r="C60" s="17" t="s">
        <s:v>91</s:v>
      </s:c>
      <s:c r="D60" s="17" t="s">
        <s:v>85</s:v>
      </s:c>
      <s:c r="E60" s="17" t="s">
        <s:v>37</s:v>
      </s:c>
      <s:c r="F60" s="17">
        <s:v>56</s:v>
      </s:c>
      <s:c r="G60" s="17">
        <s:v>1250</s:v>
      </s:c>
      <s:c r="H60" s="17">
        <s:f>F60*G60</s:f>
        <s:v>70000</s:v>
      </s:c>
      <s:c r="I60" s="17"/>
      <s:c r="J60" s="17"/>
      <s:c r="K60" s="17"/>
      <s:c r="L60" s="17"/>
      <s:c r="M60" s="17"/>
      <s:c r="N60" s="17"/>
      <s:c r="O60" s="17"/>
      <s:c r="P60" s="17">
        <s:f>H60+M60+N60+O60</s:f>
        <s:v>70000</s:v>
      </s:c>
      <s:c r="Q60"/>
      <s:c r="U60" s="1"/>
      <s:c r="V60"/>
    </s:row>
    <s:row x14ac:dyDescent="0.25" r="61" spans="1:22" ht="15.75" customHeight="1">
      <s:c r="A61" s="46"/>
      <s:c r="B61" s="46"/>
      <s:c r="C61" s="17" t="s">
        <s:v>92</s:v>
      </s:c>
      <s:c r="D61" s="17" t="s">
        <s:v>93</s:v>
      </s:c>
      <s:c r="E61" s="17" t="s">
        <s:v>34</s:v>
      </s:c>
      <s:c r="F61" s="17">
        <s:v>85</s:v>
      </s:c>
      <s:c r="G61" s="17">
        <s:v>180</s:v>
      </s:c>
      <s:c r="H61" s="17">
        <s:f>F61*G61</s:f>
        <s:v>15300</s:v>
      </s:c>
      <s:c r="I61" s="17"/>
      <s:c r="J61" s="17"/>
      <s:c r="K61" s="17"/>
      <s:c r="L61" s="17"/>
      <s:c r="M61" s="17"/>
      <s:c r="N61" s="17"/>
      <s:c r="O61" s="17"/>
      <s:c r="P61" s="17">
        <s:f>H61+M61+N61+O61</s:f>
        <s:v>15300</s:v>
      </s:c>
      <s:c r="Q61"/>
      <s:c r="U61" s="1"/>
      <s:c r="V61"/>
    </s:row>
    <s:row x14ac:dyDescent="0.25" r="62" spans="1:22" ht="15.75" customHeight="1">
      <s:c r="A62" s="46"/>
      <s:c r="B62" s="46"/>
      <s:c r="C62" s="17" t="s">
        <s:v>94</s:v>
      </s:c>
      <s:c r="D62" s="17" t="s">
        <s:v>95</s:v>
      </s:c>
      <s:c r="E62" s="17" t="s">
        <s:v>69</s:v>
      </s:c>
      <s:c r="F62" s="17">
        <s:v>3</s:v>
      </s:c>
      <s:c r="G62" s="17">
        <s:v>6000</s:v>
      </s:c>
      <s:c r="H62" s="17">
        <s:f>F62*G62</s:f>
        <s:v>18000</s:v>
      </s:c>
      <s:c r="I62" s="17"/>
      <s:c r="J62" s="17"/>
      <s:c r="K62" s="17"/>
      <s:c r="L62" s="17"/>
      <s:c r="M62" s="17"/>
      <s:c r="N62" s="17"/>
      <s:c r="O62" s="17"/>
      <s:c r="P62" s="17">
        <s:f>H62+M62+N62+O62</s:f>
        <s:v>18000</s:v>
      </s:c>
      <s:c r="Q62"/>
      <s:c r="U62" s="1"/>
      <s:c r="V62"/>
    </s:row>
    <s:row x14ac:dyDescent="0.25" r="63" spans="1:22" ht="15.75" customHeight="1">
      <s:c r="A63" s="46"/>
      <s:c r="B63" s="46"/>
      <s:c r="C63" s="17"/>
      <s:c r="D63" s="17"/>
      <s:c r="E63" s="17"/>
      <s:c r="F63" s="17"/>
      <s:c r="G63" s="17"/>
      <s:c r="H63" s="17"/>
      <s:c r="I63" s="17"/>
      <s:c r="J63" s="17"/>
      <s:c r="K63" s="17"/>
      <s:c r="L63" s="17"/>
      <s:c r="M63" s="17"/>
      <s:c r="N63" s="17"/>
      <s:c r="O63" s="17"/>
      <s:c r="P63" s="17"/>
      <s:c r="Q63"/>
      <s:c r="U63" s="1"/>
      <s:c r="V63"/>
    </s:row>
    <s:row x14ac:dyDescent="0.25" r="64" spans="1:22" ht="15.75" customHeight="1">
      <s:c r="A64" s="47" t="s">
        <s:v>55</s:v>
      </s:c>
      <s:c r="B64" s="17"/>
      <s:c r="C64" s="17"/>
      <s:c r="D64" s="17"/>
      <s:c r="E64" s="17"/>
      <s:c r="F64" s="17"/>
      <s:c r="G64" s="17"/>
      <s:c r="H64" s="47">
        <s:f>SUM(H59:H62)</s:f>
        <s:v>434800</s:v>
      </s:c>
      <s:c r="I64" s="17"/>
      <s:c r="J64" s="17"/>
      <s:c r="K64" s="17"/>
      <s:c r="L64" s="17"/>
      <s:c r="M64" s="47">
        <s:f>SUM(M59)</s:f>
        <s:v>36421.180766889833</s:v>
      </s:c>
      <s:c r="N64" s="47">
        <s:f>SUM(N59)</s:f>
        <s:v>10999.196591600728</s:v>
      </s:c>
      <s:c r="O64" s="47">
        <s:f>SUM(O59)</s:f>
        <s:v>94840.754716981115</s:v>
      </s:c>
      <s:c r="P64" s="47">
        <s:f>SUM(P59:P62)</s:f>
        <s:v>577061.13207547169</s:v>
      </s:c>
      <s:c r="Q64"/>
      <s:c r="U64" s="1"/>
      <s:c r="V64"/>
    </s:row>
    <s:row x14ac:dyDescent="0.25" r="65" spans="1:22" ht="15.75" customHeight="1">
      <s:c r="A65" s="32" t="s">
        <s:v>96</s:v>
      </s:c>
      <s:c r="B65" s="31" t="s">
        <s:v>97</s:v>
      </s:c>
      <s:c r="C65" s="17" t="s">
        <s:v>97</s:v>
      </s:c>
      <s:c r="D65" s="17" t="s">
        <s:v>98</s:v>
      </s:c>
      <s:c r="E65" s="17" t="s">
        <s:v>37</s:v>
      </s:c>
      <s:c r="F65" s="17">
        <s:v>1</s:v>
      </s:c>
      <s:c r="G65" s="17">
        <s:v>32540</s:v>
      </s:c>
      <s:c r="H65" s="17">
        <s:f>F65*G65</s:f>
        <s:v>32540</s:v>
      </s:c>
      <s:c r="I65" s="17"/>
      <s:c r="J65" s="17"/>
      <s:c r="K65" s="17"/>
      <s:c r="L65" s="17"/>
      <s:c r="M65" s="17"/>
      <s:c r="N65" s="17"/>
      <s:c r="O65" s="17"/>
      <s:c r="P65" s="17"/>
      <s:c r="Q65"/>
      <s:c r="U65" s="1"/>
      <s:c r="V65"/>
    </s:row>
    <s:row x14ac:dyDescent="0.25" r="66" spans="1:22" ht="15.75" customHeight="1">
      <s:c r="A66" s="47" t="s">
        <s:v>55</s:v>
      </s:c>
      <s:c r="B66" s="17"/>
      <s:c r="C66" s="17"/>
      <s:c r="D66" s="17"/>
      <s:c r="E66" s="17"/>
      <s:c r="F66" s="17"/>
      <s:c r="G66" s="17"/>
      <s:c r="H66" s="47">
        <s:f>SUM(H65:H65)</s:f>
        <s:v>32540</s:v>
      </s:c>
      <s:c r="I66" s="17"/>
      <s:c r="J66" s="17"/>
      <s:c r="K66" s="17"/>
      <s:c r="L66" s="17"/>
      <s:c r="M66" s="47"/>
      <s:c r="N66" s="47"/>
      <s:c r="O66" s="47"/>
      <s:c r="P66" s="47"/>
      <s:c r="Q66"/>
      <s:c r="U66" s="1"/>
      <s:c r="V66"/>
    </s:row>
    <s:row x14ac:dyDescent="0.25" r="67" spans="1:22" ht="15.75" customHeight="1">
      <s:c r="A67" s="32" t="s">
        <s:v>99</s:v>
      </s:c>
      <s:c r="B67" s="31" t="s">
        <s:v>100</s:v>
      </s:c>
      <s:c r="C67" s="17" t="s">
        <s:v>100</s:v>
      </s:c>
      <s:c r="D67" s="17" t="s">
        <s:v>98</s:v>
      </s:c>
      <s:c r="E67" s="17" t="s">
        <s:v>37</s:v>
      </s:c>
      <s:c r="F67" s="17">
        <s:v>1</s:v>
      </s:c>
      <s:c r="G67" s="17">
        <s:v>32540</s:v>
      </s:c>
      <s:c r="H67" s="17">
        <s:f>F67*G67</s:f>
        <s:v>32540</s:v>
      </s:c>
      <s:c r="I67" s="17"/>
      <s:c r="J67" s="17"/>
      <s:c r="K67" s="17"/>
      <s:c r="L67" s="17"/>
      <s:c r="M67" s="17"/>
      <s:c r="N67" s="17"/>
      <s:c r="O67" s="17"/>
      <s:c r="P67" s="17"/>
      <s:c r="Q67"/>
      <s:c r="U67" s="1"/>
      <s:c r="V67"/>
    </s:row>
    <s:row x14ac:dyDescent="0.25" r="68" spans="1:22" ht="15.75" customHeight="1">
      <s:c r="A68" s="47" t="s">
        <s:v>55</s:v>
      </s:c>
      <s:c r="B68" s="17"/>
      <s:c r="C68" s="17"/>
      <s:c r="D68" s="17"/>
      <s:c r="E68" s="17"/>
      <s:c r="F68" s="17"/>
      <s:c r="G68" s="17"/>
      <s:c r="H68" s="47">
        <s:f>SUM(H67:H67)</s:f>
        <s:v>32540</s:v>
      </s:c>
      <s:c r="I68" s="17"/>
      <s:c r="J68" s="17"/>
      <s:c r="K68" s="17"/>
      <s:c r="L68" s="17"/>
      <s:c r="M68" s="47"/>
      <s:c r="N68" s="47"/>
      <s:c r="O68" s="47"/>
      <s:c r="P68" s="47"/>
      <s:c r="Q68"/>
      <s:c r="U68" s="1"/>
      <s:c r="V68"/>
    </s:row>
    <s:row x14ac:dyDescent="0.25" r="69" spans="1:22" ht="15.75" customHeight="1">
      <s:c r="A69" s="32" t="s">
        <s:v>101</s:v>
      </s:c>
      <s:c r="B69" s="31" t="s">
        <s:v>102</s:v>
      </s:c>
      <s:c r="C69" s="17" t="s">
        <s:v>103</s:v>
      </s:c>
      <s:c r="D69" s="17" t="s">
        <s:v>98</s:v>
      </s:c>
      <s:c r="E69" s="17" t="s">
        <s:v>37</s:v>
      </s:c>
      <s:c r="F69" s="17">
        <s:v>1</s:v>
      </s:c>
      <s:c r="G69" s="17">
        <s:v>8500</s:v>
      </s:c>
      <s:c r="H69" s="17">
        <s:f>F69*G69</s:f>
        <s:v>8500</s:v>
      </s:c>
      <s:c r="I69" s="17"/>
      <s:c r="J69" s="17"/>
      <s:c r="K69" s="17"/>
      <s:c r="L69" s="17"/>
      <s:c r="M69" s="17"/>
      <s:c r="N69" s="17"/>
      <s:c r="O69" s="17"/>
      <s:c r="P69" s="17"/>
      <s:c r="Q69"/>
      <s:c r="U69" s="1"/>
      <s:c r="V69"/>
    </s:row>
    <s:row x14ac:dyDescent="0.25" r="70" spans="1:22" ht="15.75" customHeight="1">
      <s:c r="A70" s="47" t="s">
        <s:v>55</s:v>
      </s:c>
      <s:c r="B70" s="17"/>
      <s:c r="C70" s="17"/>
      <s:c r="D70" s="17"/>
      <s:c r="E70" s="17"/>
      <s:c r="F70" s="17"/>
      <s:c r="G70" s="17"/>
      <s:c r="H70" s="47">
        <s:f>SUM(H69:H69)</s:f>
        <s:v>8500</s:v>
      </s:c>
      <s:c r="I70" s="17"/>
      <s:c r="J70" s="17"/>
      <s:c r="K70" s="17"/>
      <s:c r="L70" s="17"/>
      <s:c r="M70" s="47"/>
      <s:c r="N70" s="47"/>
      <s:c r="O70" s="47"/>
      <s:c r="P70" s="47"/>
      <s:c r="Q70"/>
      <s:c r="U70" s="1"/>
      <s:c r="V70"/>
    </s:row>
    <s:row x14ac:dyDescent="0.25" r="71" spans="1:22" ht="15.75" customHeight="1">
      <s:c r="A71" s="32" t="s">
        <s:v>104</s:v>
      </s:c>
      <s:c r="B71" s="31" t="s">
        <s:v>105</s:v>
      </s:c>
      <s:c r="C71" s="17" t="s">
        <s:v>105</s:v>
      </s:c>
      <s:c r="D71" s="17" t="s">
        <s:v>98</s:v>
      </s:c>
      <s:c r="E71" s="17" t="s">
        <s:v>37</s:v>
      </s:c>
      <s:c r="F71" s="17">
        <s:v>2</s:v>
      </s:c>
      <s:c r="G71" s="17">
        <s:v>3800</s:v>
      </s:c>
      <s:c r="H71" s="17">
        <s:f>F71*G71</s:f>
        <s:v>7600</s:v>
      </s:c>
      <s:c r="I71" s="17"/>
      <s:c r="J71" s="17"/>
      <s:c r="K71" s="17"/>
      <s:c r="L71" s="17"/>
      <s:c r="M71" s="17"/>
      <s:c r="N71" s="17"/>
      <s:c r="O71" s="17"/>
      <s:c r="P71" s="17"/>
      <s:c r="Q71"/>
      <s:c r="U71" s="1"/>
      <s:c r="V71"/>
    </s:row>
    <s:row x14ac:dyDescent="0.25" r="72" spans="1:22" ht="15.75" customHeight="1">
      <s:c r="A72" s="47" t="s">
        <s:v>55</s:v>
      </s:c>
      <s:c r="B72" s="17"/>
      <s:c r="C72" s="17"/>
      <s:c r="D72" s="17"/>
      <s:c r="E72" s="17"/>
      <s:c r="F72" s="17"/>
      <s:c r="G72" s="17"/>
      <s:c r="H72" s="47">
        <s:f>SUM(H71:H71)</s:f>
        <s:v>7600</s:v>
      </s:c>
      <s:c r="I72" s="17"/>
      <s:c r="J72" s="17"/>
      <s:c r="K72" s="17"/>
      <s:c r="L72" s="17"/>
      <s:c r="M72" s="47"/>
      <s:c r="N72" s="47"/>
      <s:c r="O72" s="47"/>
      <s:c r="P72" s="47"/>
      <s:c r="Q72"/>
      <s:c r="U72" s="1"/>
      <s:c r="V72"/>
    </s:row>
    <s:row x14ac:dyDescent="0.25" r="73" spans="1:22" ht="15.75" customHeight="1">
      <s:c r="A73" s="32" t="s">
        <s:v>106</s:v>
      </s:c>
      <s:c r="B73" s="31" t="s">
        <s:v>107</s:v>
      </s:c>
      <s:c r="C73" s="17" t="s">
        <s:v>107</s:v>
      </s:c>
      <s:c r="D73" s="17" t="s">
        <s:v>98</s:v>
      </s:c>
      <s:c r="E73" s="17" t="s">
        <s:v>37</s:v>
      </s:c>
      <s:c r="F73" s="17">
        <s:v>1</s:v>
      </s:c>
      <s:c r="G73" s="17">
        <s:v>3800</s:v>
      </s:c>
      <s:c r="H73" s="17">
        <s:f>F73*G73</s:f>
        <s:v>3800</s:v>
      </s:c>
      <s:c r="I73" s="17"/>
      <s:c r="J73" s="17"/>
      <s:c r="K73" s="17"/>
      <s:c r="L73" s="17"/>
      <s:c r="M73" s="17"/>
      <s:c r="N73" s="17"/>
      <s:c r="O73" s="17"/>
      <s:c r="P73" s="17"/>
      <s:c r="Q73"/>
      <s:c r="U73" s="1"/>
      <s:c r="V73"/>
    </s:row>
    <s:row x14ac:dyDescent="0.25" r="74" spans="1:22" ht="15.75" customHeight="1">
      <s:c r="A74" s="47" t="s">
        <s:v>55</s:v>
      </s:c>
      <s:c r="B74" s="17"/>
      <s:c r="C74" s="17"/>
      <s:c r="D74" s="17"/>
      <s:c r="E74" s="17"/>
      <s:c r="F74" s="17"/>
      <s:c r="G74" s="17"/>
      <s:c r="H74" s="47">
        <s:f>SUM(H73:H73)</s:f>
        <s:v>3800</s:v>
      </s:c>
      <s:c r="I74" s="17"/>
      <s:c r="J74" s="17"/>
      <s:c r="K74" s="17"/>
      <s:c r="L74" s="17"/>
      <s:c r="M74" s="47"/>
      <s:c r="N74" s="47"/>
      <s:c r="O74" s="47"/>
      <s:c r="P74" s="47"/>
      <s:c r="Q74"/>
      <s:c r="U74" s="1"/>
      <s:c r="V74"/>
    </s:row>
    <s:row x14ac:dyDescent="0.25" r="75" spans="1:22" ht="15.75" customHeight="1">
      <s:c r="A75" s="32" t="s">
        <s:v>108</s:v>
      </s:c>
      <s:c r="B75" s="31" t="s">
        <s:v>109</s:v>
      </s:c>
      <s:c r="C75" s="17" t="s">
        <s:v>109</s:v>
      </s:c>
      <s:c r="D75" s="17" t="s">
        <s:v>98</s:v>
      </s:c>
      <s:c r="E75" s="17" t="s">
        <s:v>37</s:v>
      </s:c>
      <s:c r="F75" s="17">
        <s:v>1</s:v>
      </s:c>
      <s:c r="G75" s="17">
        <s:v>3800</s:v>
      </s:c>
      <s:c r="H75" s="17">
        <s:f>F75*G75</s:f>
        <s:v>3800</s:v>
      </s:c>
      <s:c r="I75" s="17"/>
      <s:c r="J75" s="17"/>
      <s:c r="K75" s="17"/>
      <s:c r="L75" s="17"/>
      <s:c r="M75" s="17"/>
      <s:c r="N75" s="17"/>
      <s:c r="O75" s="17"/>
      <s:c r="P75" s="17"/>
      <s:c r="Q75"/>
      <s:c r="U75" s="1"/>
      <s:c r="V75"/>
    </s:row>
    <s:row x14ac:dyDescent="0.25" r="76" spans="1:22" ht="15.75" customHeight="1">
      <s:c r="A76" s="47" t="s">
        <s:v>55</s:v>
      </s:c>
      <s:c r="B76" s="17"/>
      <s:c r="C76" s="17"/>
      <s:c r="D76" s="17"/>
      <s:c r="E76" s="17"/>
      <s:c r="F76" s="17"/>
      <s:c r="G76" s="17"/>
      <s:c r="H76" s="47">
        <s:f>SUM(H75:H75)</s:f>
        <s:v>3800</s:v>
      </s:c>
      <s:c r="I76" s="17"/>
      <s:c r="J76" s="17"/>
      <s:c r="K76" s="17"/>
      <s:c r="L76" s="17"/>
      <s:c r="M76" s="47"/>
      <s:c r="N76" s="47"/>
      <s:c r="O76" s="47"/>
      <s:c r="P76" s="47"/>
      <s:c r="Q76"/>
      <s:c r="U76" s="1"/>
      <s:c r="V76"/>
    </s:row>
    <s:row x14ac:dyDescent="0.25" r="77" spans="1:22" ht="15.75" customHeight="1">
      <s:c r="A77" s="32" t="s">
        <s:v>110</s:v>
      </s:c>
      <s:c r="B77" s="31" t="s">
        <s:v>111</s:v>
      </s:c>
      <s:c r="C77" s="17" t="s">
        <s:v>111</s:v>
      </s:c>
      <s:c r="D77" s="17" t="s">
        <s:v>98</s:v>
      </s:c>
      <s:c r="E77" s="17" t="s">
        <s:v>37</s:v>
      </s:c>
      <s:c r="F77" s="17">
        <s:v>1</s:v>
      </s:c>
      <s:c r="G77" s="17">
        <s:v>3800</s:v>
      </s:c>
      <s:c r="H77" s="17">
        <s:f>F77*G77</s:f>
        <s:v>3800</s:v>
      </s:c>
      <s:c r="I77" s="17"/>
      <s:c r="J77" s="17"/>
      <s:c r="K77" s="17"/>
      <s:c r="L77" s="17"/>
      <s:c r="M77" s="17"/>
      <s:c r="N77" s="17"/>
      <s:c r="O77" s="17"/>
      <s:c r="P77" s="17"/>
      <s:c r="Q77"/>
      <s:c r="U77" s="1"/>
      <s:c r="V77"/>
    </s:row>
    <s:row x14ac:dyDescent="0.25" r="78" spans="1:22" ht="15.75" customHeight="1">
      <s:c r="A78" s="47" t="s">
        <s:v>55</s:v>
      </s:c>
      <s:c r="B78" s="17"/>
      <s:c r="C78" s="17"/>
      <s:c r="D78" s="17"/>
      <s:c r="E78" s="17"/>
      <s:c r="F78" s="17"/>
      <s:c r="G78" s="17"/>
      <s:c r="H78" s="47">
        <s:f>SUM(H77:H77)</s:f>
        <s:v>3800</s:v>
      </s:c>
      <s:c r="I78" s="17"/>
      <s:c r="J78" s="17"/>
      <s:c r="K78" s="17"/>
      <s:c r="L78" s="17"/>
      <s:c r="M78" s="47"/>
      <s:c r="N78" s="47"/>
      <s:c r="O78" s="47"/>
      <s:c r="P78" s="47"/>
      <s:c r="Q78"/>
      <s:c r="U78" s="1"/>
      <s:c r="V78"/>
    </s:row>
    <s:row x14ac:dyDescent="0.25" r="79" spans="1:22" ht="15.75" customHeight="1">
      <s:c r="A79" s="32" t="s">
        <s:v>112</s:v>
      </s:c>
      <s:c r="B79" s="31" t="s">
        <s:v>113</s:v>
      </s:c>
      <s:c r="C79" s="17" t="s">
        <s:v>113</s:v>
      </s:c>
      <s:c r="D79" s="17" t="s">
        <s:v>98</s:v>
      </s:c>
      <s:c r="E79" s="17" t="s">
        <s:v>37</s:v>
      </s:c>
      <s:c r="F79" s="17">
        <s:v>1</s:v>
      </s:c>
      <s:c r="G79" s="17">
        <s:v>3800</s:v>
      </s:c>
      <s:c r="H79" s="17">
        <s:f>F79*G79</s:f>
        <s:v>3800</s:v>
      </s:c>
      <s:c r="I79" s="17"/>
      <s:c r="J79" s="17"/>
      <s:c r="K79" s="17"/>
      <s:c r="L79" s="17"/>
      <s:c r="M79" s="17"/>
      <s:c r="N79" s="17"/>
      <s:c r="O79" s="17"/>
      <s:c r="P79" s="17"/>
      <s:c r="Q79"/>
      <s:c r="U79" s="1"/>
      <s:c r="V79"/>
    </s:row>
    <s:row x14ac:dyDescent="0.25" r="80" spans="1:22" ht="15.75" customHeight="1">
      <s:c r="A80" s="47" t="s">
        <s:v>55</s:v>
      </s:c>
      <s:c r="B80" s="17"/>
      <s:c r="C80" s="17"/>
      <s:c r="D80" s="17"/>
      <s:c r="E80" s="17"/>
      <s:c r="F80" s="17"/>
      <s:c r="G80" s="17"/>
      <s:c r="H80" s="47">
        <s:f>SUM(H79:H79)</s:f>
        <s:v>3800</s:v>
      </s:c>
      <s:c r="I80" s="17"/>
      <s:c r="J80" s="17"/>
      <s:c r="K80" s="17"/>
      <s:c r="L80" s="17"/>
      <s:c r="M80" s="47"/>
      <s:c r="N80" s="47"/>
      <s:c r="O80" s="47"/>
      <s:c r="P80" s="47"/>
      <s:c r="Q80"/>
      <s:c r="U80" s="1"/>
      <s:c r="V80"/>
    </s:row>
    <s:row x14ac:dyDescent="0.25" r="81" spans="1:24" ht="15.75" customHeight="1">
      <s:c r="A81" s="32" t="s">
        <s:v>114</s:v>
      </s:c>
      <s:c r="B81" s="31" t="s">
        <s:v>115</s:v>
      </s:c>
      <s:c r="C81" s="17" t="s">
        <s:v>116</s:v>
      </s:c>
      <s:c r="D81" s="17" t="s">
        <s:v>98</s:v>
      </s:c>
      <s:c r="E81" s="17" t="s">
        <s:v>37</s:v>
      </s:c>
      <s:c r="F81" s="17">
        <s:v>1</s:v>
      </s:c>
      <s:c r="G81" s="17">
        <s:v>4500</s:v>
      </s:c>
      <s:c r="H81" s="17">
        <s:f>F81*G81</s:f>
        <s:v>4500</s:v>
      </s:c>
      <s:c r="I81" s="17"/>
      <s:c r="J81" s="17"/>
      <s:c r="K81" s="17"/>
      <s:c r="L81" s="17"/>
      <s:c r="M81" s="17"/>
      <s:c r="N81" s="17"/>
      <s:c r="O81" s="17"/>
      <s:c r="P81" s="17"/>
      <s:c r="Q81"/>
      <s:c r="U81" s="1"/>
      <s:c r="V81"/>
    </s:row>
    <s:row x14ac:dyDescent="0.25" r="82" spans="1:24" ht="15.75" customHeight="1">
      <s:c r="A82" s="47" t="s">
        <s:v>55</s:v>
      </s:c>
      <s:c r="B82" s="17"/>
      <s:c r="C82" s="17"/>
      <s:c r="D82" s="17"/>
      <s:c r="E82" s="17"/>
      <s:c r="F82" s="17"/>
      <s:c r="G82" s="17"/>
      <s:c r="H82" s="47">
        <s:f>SUM(H81:H81)</s:f>
        <s:v>4500</s:v>
      </s:c>
      <s:c r="I82" s="17"/>
      <s:c r="J82" s="17"/>
      <s:c r="K82" s="17"/>
      <s:c r="L82" s="17"/>
      <s:c r="M82" s="47"/>
      <s:c r="N82" s="47"/>
      <s:c r="O82" s="47"/>
      <s:c r="P82" s="47"/>
      <s:c r="Q82"/>
      <s:c r="U82" s="1"/>
      <s:c r="V82"/>
    </s:row>
    <s:row x14ac:dyDescent="0.25" r="83" spans="1:24" ht="15.75" customHeight="1">
      <s:c r="A83" s="17"/>
      <s:c r="B83" s="17"/>
      <s:c r="C83" s="17"/>
      <s:c r="D83" s="17"/>
      <s:c r="E83" s="17"/>
      <s:c r="F83" s="17"/>
      <s:c r="G83" s="17"/>
      <s:c r="H83" s="17"/>
      <s:c r="I83" s="17"/>
      <s:c r="J83" s="17"/>
      <s:c r="K83" s="17"/>
      <s:c r="L83" s="17"/>
      <s:c r="M83" s="17"/>
      <s:c r="N83" s="17"/>
      <s:c r="O83" s="17"/>
      <s:c r="P83" s="48">
        <s:f>SUM(H82,H80,H78,H76,H74,H72,H70,H68,H66)</s:f>
        <s:v>100880</s:v>
      </s:c>
      <s:c r="Q83"/>
      <s:c r="U83" s="1"/>
      <s:c r="V83"/>
    </s:row>
    <s:row x14ac:dyDescent="0.25" r="84" spans="1:24" ht="15.75" customHeight="1">
      <s:c r="A84" s="32" t="s">
        <s:v>118</s:v>
      </s:c>
      <s:c r="B84" s="31" t="s">
        <s:v>119</s:v>
      </s:c>
      <s:c r="C84" s="17" t="s">
        <s:v>120</s:v>
      </s:c>
      <s:c r="D84" s="17" t="s">
        <s:v>121</s:v>
      </s:c>
      <s:c r="E84" s="17" t="s">
        <s:v>122</s:v>
      </s:c>
      <s:c r="F84" s="17">
        <s:v>80</s:v>
      </s:c>
      <s:c r="G84" s="17">
        <s:v>1750</s:v>
      </s:c>
      <s:c r="H84" s="17">
        <s:f>F84*G84</s:f>
        <s:v>140000</s:v>
      </s:c>
      <s:c r="I84" s="17" t="s">
        <s:v>31</s:v>
      </s:c>
      <s:c r="J84" s="17">
        <s:v>85000</s:v>
      </s:c>
      <s:c r="K84" s="17">
        <s:f>J84/164.3</s:f>
        <s:v>517.34631771150327</s:v>
      </s:c>
      <s:c r="L84" s="17">
        <s:v>48</s:v>
      </s:c>
      <s:c r="M84" s="17">
        <s:f>K84*L84</s:f>
        <s:v>24832.623250152159</s:v>
      </s:c>
      <s:c r="N84" s="17">
        <s:f>M84*0.302</s:f>
        <s:v>7499.4522215459519</s:v>
      </s:c>
      <s:c r="O84" s="17">
        <s:f>(M84+N84)*2</s:f>
        <s:v>64664.15094339622</s:v>
      </s:c>
      <s:c r="P84" s="17">
        <s:f>H84+M84+N84+O84</s:f>
        <s:v>236996.22641509434</s:v>
      </s:c>
      <s:c r="Q84"/>
      <s:c r="U84" s="1"/>
      <s:c r="V84"/>
    </s:row>
    <s:row x14ac:dyDescent="0.25" r="85" spans="1:24" ht="15.75" customHeight="1">
      <s:c r="A85" s="46"/>
      <s:c r="B85" s="46"/>
      <s:c r="C85" s="17" t="s">
        <s:v>123</s:v>
      </s:c>
      <s:c r="D85" s="17" t="s">
        <s:v>124</s:v>
      </s:c>
      <s:c r="E85" s="17" t="s">
        <s:v>122</s:v>
      </s:c>
      <s:c r="F85" s="17">
        <s:v>120</s:v>
      </s:c>
      <s:c r="G85" s="17">
        <s:v>85</s:v>
      </s:c>
      <s:c r="H85" s="17">
        <s:f>F85*G85</s:f>
        <s:v>10200</s:v>
      </s:c>
      <s:c r="I85" s="17" t="s">
        <s:v>62</s:v>
      </s:c>
      <s:c r="J85" s="17">
        <s:v>75000</s:v>
      </s:c>
      <s:c r="K85" s="17">
        <s:f>J85/164.3</s:f>
        <s:v>456.48204503956174</s:v>
      </s:c>
      <s:c r="L85" s="17">
        <s:v>32</s:v>
      </s:c>
      <s:c r="M85" s="17">
        <s:f>K85*L85</s:f>
        <s:v>14607.425441265976</s:v>
      </s:c>
      <s:c r="N85" s="17">
        <s:f>M85*0.302</s:f>
        <s:v>4411.4424832623245</s:v>
      </s:c>
      <s:c r="O85" s="17">
        <s:f>(M85+N85)*2</s:f>
        <s:v>38037.735849056597</s:v>
      </s:c>
      <s:c r="P85" s="17">
        <s:f>H85+M85+N85+O85</s:f>
        <s:v>67256.603773584895</s:v>
      </s:c>
      <s:c r="Q85"/>
      <s:c r="U85" s="1"/>
      <s:c r="V85"/>
    </s:row>
    <s:row x14ac:dyDescent="0.25" r="86" spans="1:24" ht="15.75" customHeight="1">
      <s:c r="A86" s="46"/>
      <s:c r="B86" s="46"/>
      <s:c r="C86" s="17" t="s">
        <s:v>125</s:v>
      </s:c>
      <s:c r="D86" s="17" t="s">
        <s:v>61</s:v>
      </s:c>
      <s:c r="E86" s="17" t="s">
        <s:v>126</s:v>
      </s:c>
      <s:c r="F86" s="17">
        <s:v>5</s:v>
      </s:c>
      <s:c r="G86" s="17">
        <s:v>600</s:v>
      </s:c>
      <s:c r="H86" s="17">
        <s:f>F86*G86</s:f>
        <s:v>3000</s:v>
      </s:c>
      <s:c r="I86" s="17" t="s">
        <s:v>66</s:v>
      </s:c>
      <s:c r="J86" s="17">
        <s:v>72000</s:v>
      </s:c>
      <s:c r="K86" s="17">
        <s:f>J86/164.3</s:f>
        <s:v>438.22276323797928</s:v>
      </s:c>
      <s:c r="L86" s="17">
        <s:v>20</s:v>
      </s:c>
      <s:c r="M86" s="17">
        <s:f>K86*L86</s:f>
        <s:v>8764.4552647595847</s:v>
      </s:c>
      <s:c r="N86" s="17">
        <s:f>M86*0.302</s:f>
        <s:v>2646.8654899573944</s:v>
      </s:c>
      <s:c r="O86" s="17">
        <s:f>(M86+N86)*2</s:f>
        <s:v>22822.641509433957</s:v>
      </s:c>
      <s:c r="P86" s="17">
        <s:f>H86+M86+N86+O86</s:f>
        <s:v>37233.962264150934</s:v>
      </s:c>
      <s:c r="Q86"/>
      <s:c r="U86" s="1"/>
      <s:c r="V86"/>
    </s:row>
    <s:row x14ac:dyDescent="0.25" r="87" spans="1:24" ht="15.75" customHeight="1">
      <s:c r="A87" s="46"/>
      <s:c r="B87" s="46"/>
      <s:c r="C87" s="17"/>
      <s:c r="D87" s="17"/>
      <s:c r="E87" s="17"/>
      <s:c r="F87" s="17"/>
      <s:c r="G87" s="17"/>
      <s:c r="H87" s="17"/>
      <s:c r="I87" s="2"/>
      <s:c r="J87" s="2"/>
      <s:c r="K87" s="2"/>
      <s:c r="L87" s="2"/>
      <s:c r="M87" s="2"/>
      <s:c r="N87" s="2"/>
      <s:c r="O87" s="2"/>
      <s:c r="P87" s="2"/>
      <s:c r="Q87"/>
      <s:c r="U87" s="1"/>
      <s:c r="V87"/>
    </s:row>
    <s:row x14ac:dyDescent="0.25" r="88" spans="1:24" ht="15.75" customHeight="1">
      <s:c r="A88" s="46"/>
      <s:c r="B88" s="46"/>
      <s:c r="C88" s="17"/>
      <s:c r="D88" s="17"/>
      <s:c r="E88" s="17"/>
      <s:c r="F88" s="17"/>
      <s:c r="G88" s="17"/>
      <s:c r="H88" s="17"/>
      <s:c r="I88" s="2"/>
      <s:c r="J88" s="2"/>
      <s:c r="K88" s="2"/>
      <s:c r="L88" s="2"/>
      <s:c r="M88" s="2"/>
      <s:c r="N88" s="2"/>
      <s:c r="O88" s="2"/>
      <s:c r="P88" s="2"/>
      <s:c r="Q88"/>
      <s:c r="U88" s="1"/>
      <s:c r="V88"/>
    </s:row>
    <s:row x14ac:dyDescent="0.25" r="89" spans="1:24" ht="15.75" customHeight="1">
      <s:c r="A89" s="46"/>
      <s:c r="B89" s="46"/>
      <s:c r="C89" s="17"/>
      <s:c r="D89" s="17"/>
      <s:c r="E89" s="17"/>
      <s:c r="F89" s="17"/>
      <s:c r="G89" s="17"/>
      <s:c r="H89" s="17"/>
      <s:c r="I89" s="2"/>
      <s:c r="J89" s="2"/>
      <s:c r="K89" s="2"/>
      <s:c r="L89" s="2"/>
      <s:c r="M89" s="2"/>
      <s:c r="N89" s="2"/>
      <s:c r="O89" s="2"/>
      <s:c r="P89" s="2"/>
      <s:c r="Q89"/>
      <s:c r="U89" s="1"/>
      <s:c r="V89"/>
    </s:row>
    <s:row x14ac:dyDescent="0.25" r="90" spans="1:24" ht="15.75" customHeight="1">
      <s:c r="A90" s="47" t="s">
        <s:v>55</s:v>
      </s:c>
      <s:c r="B90" s="17"/>
      <s:c r="C90" s="17"/>
      <s:c r="D90" s="17"/>
      <s:c r="E90" s="17"/>
      <s:c r="F90" s="17"/>
      <s:c r="G90" s="17"/>
      <s:c r="H90" s="47">
        <s:f>SUM(H84:H86)</s:f>
        <s:v>153200</s:v>
      </s:c>
      <s:c r="I90" s="17"/>
      <s:c r="J90" s="17"/>
      <s:c r="K90" s="17"/>
      <s:c r="L90" s="17"/>
      <s:c r="M90" s="47">
        <s:f>SUM(M84:M86)</s:f>
        <s:v>48204.503956177723</s:v>
      </s:c>
      <s:c r="N90" s="47">
        <s:f>SUM(N84:N86)</s:f>
        <s:v>14557.760194765671</s:v>
      </s:c>
      <s:c r="O90" s="47">
        <s:f>SUM(O84:O86)</s:f>
        <s:v>125524.52830188678</s:v>
      </s:c>
      <s:c r="P90" s="47">
        <s:f>SUM(P84:P86)</s:f>
        <s:v>341486.79245283012</s:v>
      </s:c>
      <s:c r="Q90"/>
      <s:c r="U90" s="1"/>
      <s:c r="V90"/>
    </s:row>
    <s:row x14ac:dyDescent="0.25" r="91" spans="1:24" ht="15.75" customHeight="1">
      <s:c r="A91" s="32" t="s">
        <s:v>127</s:v>
      </s:c>
      <s:c r="B91" s="46"/>
      <s:c r="C91" s="17" t="s">
        <s:v>128</s:v>
      </s:c>
      <s:c r="D91" s="17" t="s">
        <s:v>129</s:v>
      </s:c>
      <s:c r="E91" s="17" t="s">
        <s:v>30</s:v>
      </s:c>
      <s:c r="F91" s="17">
        <s:v>2.8</s:v>
      </s:c>
      <s:c r="G91" s="17">
        <s:v>1200</s:v>
      </s:c>
      <s:c r="H91" s="17">
        <s:f>F91*G91</s:f>
        <s:v>3360</s:v>
      </s:c>
      <s:c r="I91" s="17"/>
      <s:c r="J91" s="17"/>
      <s:c r="K91" s="17"/>
      <s:c r="L91" s="17"/>
      <s:c r="M91" s="17"/>
      <s:c r="N91" s="17"/>
      <s:c r="O91" s="17"/>
      <s:c r="P91" s="17"/>
      <s:c r="Q91"/>
      <s:c r="U91" s="1"/>
      <s:c r="V91"/>
    </s:row>
    <s:row x14ac:dyDescent="0.25" r="92" spans="1:24" ht="15.75" customHeight="1">
      <s:c r="A92" s="17"/>
      <s:c r="B92" s="17"/>
      <s:c r="C92" s="17" t="s">
        <s:v>130</s:v>
      </s:c>
      <s:c r="D92" s="17" t="s">
        <s:v>129</s:v>
      </s:c>
      <s:c r="E92" s="17" t="s">
        <s:v>30</s:v>
      </s:c>
      <s:c r="F92" s="17">
        <s:v>2.5</s:v>
      </s:c>
      <s:c r="G92" s="17">
        <s:v>250</s:v>
      </s:c>
      <s:c r="H92" s="17">
        <s:f>F92*G92</s:f>
        <s:v>625</s:v>
      </s:c>
      <s:c r="I92" s="17"/>
      <s:c r="J92" s="17"/>
      <s:c r="K92" s="17"/>
      <s:c r="L92" s="17"/>
      <s:c r="M92" s="17"/>
      <s:c r="N92" s="17"/>
      <s:c r="O92" s="17"/>
      <s:c r="P92" s="17"/>
      <s:c r="Q92"/>
      <s:c r="U92" s="1"/>
      <s:c r="V92"/>
    </s:row>
    <s:row x14ac:dyDescent="0.25" r="93" spans="1:24" ht="15.75" customHeight="1">
      <s:c r="A93" s="17"/>
      <s:c r="B93" s="17"/>
      <s:c r="C93" s="17" t="s">
        <s:v>131</s:v>
      </s:c>
      <s:c r="D93" s="17" t="s">
        <s:v>132</s:v>
      </s:c>
      <s:c r="E93" s="17" t="s">
        <s:v>133</s:v>
      </s:c>
      <s:c r="F93" s="17">
        <s:v>1</s:v>
      </s:c>
      <s:c r="G93" s="17">
        <s:v>65</s:v>
      </s:c>
      <s:c r="H93" s="17">
        <s:f>F93*G93</s:f>
        <s:v>65</s:v>
      </s:c>
      <s:c r="I93" s="17"/>
      <s:c r="J93" s="17"/>
      <s:c r="K93" s="17"/>
      <s:c r="L93" s="17"/>
      <s:c r="M93" s="17"/>
      <s:c r="N93" s="17"/>
      <s:c r="O93" s="17"/>
      <s:c r="P93" s="17"/>
      <s:c r="Q93"/>
      <s:c r="U93" s="1"/>
      <s:c r="V93"/>
    </s:row>
    <s:row x14ac:dyDescent="0.25" r="94" spans="1:24" ht="15.75" customHeight="1">
      <s:c r="A94" s="17"/>
      <s:c r="B94" s="17"/>
      <s:c r="C94" s="17" t="s">
        <s:v>134</s:v>
      </s:c>
      <s:c r="D94" s="17" t="s">
        <s:v>135</s:v>
      </s:c>
      <s:c r="E94" s="17" t="s">
        <s:v>133</s:v>
      </s:c>
      <s:c r="F94" s="17">
        <s:v>2</s:v>
      </s:c>
      <s:c r="G94" s="17">
        <s:v>150</s:v>
      </s:c>
      <s:c r="H94" s="17">
        <s:f>F94*G94</s:f>
        <s:v>300</s:v>
      </s:c>
      <s:c r="I94" s="17"/>
      <s:c r="J94" s="17"/>
      <s:c r="K94" s="17"/>
      <s:c r="L94" s="17"/>
      <s:c r="M94" s="17"/>
      <s:c r="N94" s="17"/>
      <s:c r="O94" s="17"/>
      <s:c r="P94" s="17"/>
      <s:c r="Q94"/>
      <s:c r="U94" s="1"/>
      <s:c r="V94"/>
    </s:row>
    <s:row x14ac:dyDescent="0.25" r="95" spans="1:24" ht="15.75" customHeight="1">
      <s:c r="A95" s="17"/>
      <s:c r="B95" s="17"/>
      <s:c r="C95" s="17"/>
      <s:c r="D95" s="17"/>
      <s:c r="E95" s="17"/>
      <s:c r="F95" s="17"/>
      <s:c r="G95" s="17"/>
      <s:c r="H95" s="17"/>
      <s:c r="I95" s="17" t="s">
        <s:v>136</s:v>
      </s:c>
      <s:c r="J95" s="17">
        <s:v>72000</s:v>
      </s:c>
      <s:c r="K95" s="17">
        <s:f>J95/164.3</s:f>
        <s:v>438.22276323797928</s:v>
      </s:c>
      <s:c r="L95" s="17">
        <s:v>14</s:v>
      </s:c>
      <s:c r="M95" s="17">
        <s:f>K95*L95</s:f>
        <s:v>6135.1186853317104</s:v>
      </s:c>
      <s:c r="N95" s="17">
        <s:f>M95*0.302</s:f>
        <s:v>1852.8058429701764</s:v>
      </s:c>
      <s:c r="O95" s="17">
        <s:f>(M95+N95)*2</s:f>
        <s:v>15975.849056603773</s:v>
      </s:c>
      <s:c r="P95" s="17">
        <s:f>H96+M95+N95+O95</s:f>
        <s:v>28313.773584905659</s:v>
      </s:c>
      <s:c r="Q95"/>
      <s:c r="U95" s="1"/>
      <s:c r="V95"/>
      <s:c r="X95" t="s">
        <s:v>117</s:v>
      </s:c>
    </s:row>
    <s:row x14ac:dyDescent="0.25" r="96" spans="1:24" ht="15.75" customHeight="1">
      <s:c r="A96" s="47" t="s">
        <s:v>55</s:v>
      </s:c>
      <s:c r="B96" s="17"/>
      <s:c r="C96" s="17"/>
      <s:c r="D96" s="17"/>
      <s:c r="E96" s="17"/>
      <s:c r="F96" s="17"/>
      <s:c r="G96" s="17"/>
      <s:c r="H96" s="47">
        <s:f>SUM(H91:H94)</s:f>
        <s:v>4350</s:v>
      </s:c>
      <s:c r="I96" s="17"/>
      <s:c r="J96" s="17"/>
      <s:c r="K96" s="17"/>
      <s:c r="L96" s="17"/>
      <s:c r="M96" s="47">
        <s:f>SUM(M95:M95)</s:f>
        <s:v>6135.1186853317104</s:v>
      </s:c>
      <s:c r="N96" s="47">
        <s:f>SUM(N95:N95)</s:f>
        <s:v>1852.8058429701764</s:v>
      </s:c>
      <s:c r="O96" s="47">
        <s:f>SUM(O95:O95)</s:f>
        <s:v>15975.849056603773</s:v>
      </s:c>
      <s:c r="P96" s="47">
        <s:f>SUM(P95:P95)</s:f>
        <s:v>28313.773584905659</s:v>
      </s:c>
      <s:c r="Q96"/>
      <s:c r="U96" s="1"/>
      <s:c r="V96"/>
    </s:row>
    <s:row x14ac:dyDescent="0.25" r="97" spans="1:22" ht="15.75" customHeight="1">
      <s:c r="A97" s="32" t="s">
        <s:v>137</s:v>
      </s:c>
      <s:c r="B97" s="31" t="s">
        <s:v>138</s:v>
      </s:c>
      <s:c r="C97" s="17" t="s">
        <s:v>139</s:v>
      </s:c>
      <s:c r="D97" s="17" t="s">
        <s:v>129</s:v>
      </s:c>
      <s:c r="E97" s="17" t="s">
        <s:v>30</s:v>
      </s:c>
      <s:c r="F97" s="17">
        <s:v>5.2</s:v>
      </s:c>
      <s:c r="G97" s="17">
        <s:v>800</s:v>
      </s:c>
      <s:c r="H97" s="17">
        <s:f>F97*G97</s:f>
        <s:v>4160</s:v>
      </s:c>
      <s:c r="I97" s="17"/>
      <s:c r="J97" s="17"/>
      <s:c r="K97" s="17"/>
      <s:c r="L97" s="17"/>
      <s:c r="M97" s="17"/>
      <s:c r="N97" s="17"/>
      <s:c r="O97" s="17"/>
      <s:c r="P97" s="17"/>
      <s:c r="Q97"/>
      <s:c r="U97" s="1"/>
      <s:c r="V97"/>
    </s:row>
    <s:row x14ac:dyDescent="0.25" r="98" spans="1:22" ht="15.75" customHeight="1">
      <s:c r="A98" s="46"/>
      <s:c r="B98" s="46"/>
      <s:c r="C98" s="17" t="s">
        <s:v>140</s:v>
      </s:c>
      <s:c r="D98" s="17" t="s">
        <s:v>129</s:v>
      </s:c>
      <s:c r="E98" s="17" t="s">
        <s:v>30</s:v>
      </s:c>
      <s:c r="F98" s="17">
        <s:v>2</s:v>
      </s:c>
      <s:c r="G98" s="17">
        <s:v>100</s:v>
      </s:c>
      <s:c r="H98" s="17">
        <s:f>F98*G98</s:f>
        <s:v>200</s:v>
      </s:c>
      <s:c r="I98" s="17"/>
      <s:c r="J98" s="17"/>
      <s:c r="K98" s="17"/>
      <s:c r="L98" s="17"/>
      <s:c r="M98" s="17"/>
      <s:c r="N98" s="17"/>
      <s:c r="O98" s="17"/>
      <s:c r="P98" s="17"/>
      <s:c r="Q98"/>
      <s:c r="U98" s="1"/>
      <s:c r="V98"/>
    </s:row>
    <s:row x14ac:dyDescent="0.25" r="99" spans="1:22" ht="15.75" customHeight="1">
      <s:c r="A99" s="46"/>
      <s:c r="B99" s="46"/>
      <s:c r="C99" s="17" t="s">
        <s:v>141</s:v>
      </s:c>
      <s:c r="D99" s="17" t="s">
        <s:v>132</s:v>
      </s:c>
      <s:c r="E99" s="17" t="s">
        <s:v>133</s:v>
      </s:c>
      <s:c r="F99" s="17">
        <s:v>6</s:v>
      </s:c>
      <s:c r="G99" s="17">
        <s:v>30</s:v>
      </s:c>
      <s:c r="H99" s="17">
        <s:f>F99*G99</s:f>
        <s:v>180</s:v>
      </s:c>
      <s:c r="I99" s="17"/>
      <s:c r="J99" s="17"/>
      <s:c r="K99" s="17"/>
      <s:c r="L99" s="17"/>
      <s:c r="M99" s="17"/>
      <s:c r="N99" s="17"/>
      <s:c r="O99" s="17"/>
      <s:c r="P99" s="17"/>
      <s:c r="Q99"/>
      <s:c r="U99" s="1"/>
      <s:c r="V99"/>
    </s:row>
    <s:row x14ac:dyDescent="0.25" r="100" spans="1:22" ht="15.75" customHeight="1">
      <s:c r="A100" s="46"/>
      <s:c r="B100" s="46"/>
      <s:c r="C100" s="17" t="s">
        <s:v>134</s:v>
      </s:c>
      <s:c r="D100" s="17" t="s">
        <s:v>135</s:v>
      </s:c>
      <s:c r="E100" s="17" t="s">
        <s:v>133</s:v>
      </s:c>
      <s:c r="F100" s="17">
        <s:v>3</s:v>
      </s:c>
      <s:c r="G100" s="17">
        <s:v>150</s:v>
      </s:c>
      <s:c r="H100" s="17">
        <s:f>F100*G100</s:f>
        <s:v>450</s:v>
      </s:c>
      <s:c r="I100" s="17"/>
      <s:c r="J100" s="17"/>
      <s:c r="K100" s="17"/>
      <s:c r="L100" s="17"/>
      <s:c r="M100" s="17"/>
      <s:c r="N100" s="17"/>
      <s:c r="O100" s="17"/>
      <s:c r="P100" s="17"/>
      <s:c r="Q100"/>
      <s:c r="U100" s="1"/>
      <s:c r="V100"/>
    </s:row>
    <s:row x14ac:dyDescent="0.25" r="101" spans="1:22" ht="15.75" customHeight="1">
      <s:c r="A101" s="46"/>
      <s:c r="B101" s="46"/>
      <s:c r="C101" s="17"/>
      <s:c r="D101" s="17"/>
      <s:c r="E101" s="17"/>
      <s:c r="F101" s="17"/>
      <s:c r="G101" s="17"/>
      <s:c r="H101" s="17"/>
      <s:c r="I101" s="17" t="s">
        <s:v>136</s:v>
      </s:c>
      <s:c r="J101" s="17">
        <s:v>72000</s:v>
      </s:c>
      <s:c r="K101" s="17">
        <s:f>J101/164.3</s:f>
        <s:v>438.22276323797928</s:v>
      </s:c>
      <s:c r="L101" s="17">
        <s:v>12</s:v>
      </s:c>
      <s:c r="M101" s="17">
        <s:f>K101*L101</s:f>
        <s:v>5258.6731588557514</s:v>
      </s:c>
      <s:c r="N101" s="17">
        <s:f>M101*0.302</s:f>
        <s:v>1588.1192939744369</s:v>
      </s:c>
      <s:c r="O101" s="17">
        <s:f>(M101+N101)*2</s:f>
        <s:v>13693.584905660377</s:v>
      </s:c>
      <s:c r="P101" s="17">
        <s:f>H102+M101+N101+O101</s:f>
        <s:v>25530.377358490565</s:v>
      </s:c>
      <s:c r="Q101"/>
      <s:c r="U101" s="1"/>
      <s:c r="V101"/>
    </s:row>
    <s:row x14ac:dyDescent="0.25" r="102" spans="1:22" ht="15.75" customHeight="1">
      <s:c r="A102" s="47" t="s">
        <s:v>55</s:v>
      </s:c>
      <s:c r="B102" s="17"/>
      <s:c r="C102" s="17"/>
      <s:c r="D102" s="17"/>
      <s:c r="E102" s="17"/>
      <s:c r="F102" s="17"/>
      <s:c r="G102" s="17"/>
      <s:c r="H102" s="47">
        <s:f>SUM(H97:H100)</s:f>
        <s:v>4990</s:v>
      </s:c>
      <s:c r="I102" s="17"/>
      <s:c r="J102" s="17"/>
      <s:c r="K102" s="17"/>
      <s:c r="L102" s="17"/>
      <s:c r="M102" s="47">
        <s:f>SUM(M101:M101)</s:f>
        <s:v>5258.6731588557514</s:v>
      </s:c>
      <s:c r="N102" s="47">
        <s:f>SUM(N101:N101)</s:f>
        <s:v>1588.1192939744369</s:v>
      </s:c>
      <s:c r="O102" s="47">
        <s:f>SUM(O101:O101)</s:f>
        <s:v>13693.584905660377</s:v>
      </s:c>
      <s:c r="P102" s="47">
        <s:f>SUM(P101:P101)</s:f>
        <s:v>25530.377358490565</s:v>
      </s:c>
      <s:c r="Q102"/>
      <s:c r="U102" s="1"/>
      <s:c r="V102"/>
    </s:row>
    <s:row x14ac:dyDescent="0.25" r="103" spans="1:22" ht="15.75" customHeight="1">
      <s:c r="A103" s="32" t="s">
        <s:v>142</s:v>
      </s:c>
      <s:c r="B103" s="31" t="s">
        <s:v>143</s:v>
      </s:c>
      <s:c r="C103" s="17" t="s">
        <s:v>144</s:v>
      </s:c>
      <s:c r="D103" s="17" t="s">
        <s:v>129</s:v>
      </s:c>
      <s:c r="E103" s="17" t="s">
        <s:v>30</s:v>
      </s:c>
      <s:c r="F103" s="17">
        <s:v>1.8</s:v>
      </s:c>
      <s:c r="G103" s="17">
        <s:v>200</s:v>
      </s:c>
      <s:c r="H103" s="17">
        <s:f>F103*G103</s:f>
        <s:v>360</s:v>
      </s:c>
      <s:c r="I103" s="17"/>
      <s:c r="J103" s="17"/>
      <s:c r="K103" s="17"/>
      <s:c r="L103" s="17"/>
      <s:c r="M103" s="17"/>
      <s:c r="N103" s="17"/>
      <s:c r="O103" s="17"/>
      <s:c r="P103" s="17"/>
      <s:c r="Q103"/>
      <s:c r="U103" s="1"/>
      <s:c r="V103"/>
    </s:row>
    <s:row x14ac:dyDescent="0.25" r="104" spans="1:22" ht="15.75" customHeight="1">
      <s:c r="A104" s="46"/>
      <s:c r="B104" s="46"/>
      <s:c r="C104" s="17" t="s">
        <s:v>145</s:v>
      </s:c>
      <s:c r="D104" s="17" t="s">
        <s:v>132</s:v>
      </s:c>
      <s:c r="E104" s="17" t="s">
        <s:v>133</s:v>
      </s:c>
      <s:c r="F104" s="17">
        <s:v>1</s:v>
      </s:c>
      <s:c r="G104" s="17">
        <s:v>65</s:v>
      </s:c>
      <s:c r="H104" s="17">
        <s:f>F104*G104</s:f>
        <s:v>65</s:v>
      </s:c>
      <s:c r="I104" s="17"/>
      <s:c r="J104" s="17"/>
      <s:c r="K104" s="17"/>
      <s:c r="L104" s="17"/>
      <s:c r="M104" s="17"/>
      <s:c r="N104" s="17"/>
      <s:c r="O104" s="17"/>
      <s:c r="P104" s="17"/>
      <s:c r="Q104"/>
      <s:c r="U104" s="1"/>
      <s:c r="V104"/>
    </s:row>
    <s:row x14ac:dyDescent="0.25" r="105" spans="1:22" ht="15.75" customHeight="1">
      <s:c r="A105" s="46"/>
      <s:c r="B105" s="46"/>
      <s:c r="C105" s="17" t="s">
        <s:v>141</s:v>
      </s:c>
      <s:c r="D105" s="17" t="s">
        <s:v>132</s:v>
      </s:c>
      <s:c r="E105" s="17" t="s">
        <s:v>133</s:v>
      </s:c>
      <s:c r="F105" s="17">
        <s:v>5</s:v>
      </s:c>
      <s:c r="G105" s="17">
        <s:v>30</s:v>
      </s:c>
      <s:c r="H105" s="17">
        <s:f>F105*G105</s:f>
        <s:v>150</s:v>
      </s:c>
      <s:c r="I105" s="17"/>
      <s:c r="J105" s="17"/>
      <s:c r="K105" s="17"/>
      <s:c r="L105" s="17"/>
      <s:c r="M105" s="17"/>
      <s:c r="N105" s="17"/>
      <s:c r="O105" s="17"/>
      <s:c r="P105" s="17"/>
      <s:c r="Q105"/>
      <s:c r="U105" s="1"/>
      <s:c r="V105"/>
    </s:row>
    <s:row x14ac:dyDescent="0.25" r="106" spans="1:22" ht="15.75" customHeight="1">
      <s:c r="A106" s="46"/>
      <s:c r="B106" s="46"/>
      <s:c r="C106" s="17" t="s">
        <s:v>134</s:v>
      </s:c>
      <s:c r="D106" s="17" t="s">
        <s:v>135</s:v>
      </s:c>
      <s:c r="E106" s="17" t="s">
        <s:v>133</s:v>
      </s:c>
      <s:c r="F106" s="17">
        <s:v>1</s:v>
      </s:c>
      <s:c r="G106" s="17">
        <s:v>150</s:v>
      </s:c>
      <s:c r="H106" s="17">
        <s:f>F106*G106</s:f>
        <s:v>150</s:v>
      </s:c>
      <s:c r="I106" s="17"/>
      <s:c r="J106" s="17"/>
      <s:c r="K106" s="17"/>
      <s:c r="L106" s="17"/>
      <s:c r="M106" s="17"/>
      <s:c r="N106" s="17"/>
      <s:c r="O106" s="17"/>
      <s:c r="P106" s="17"/>
      <s:c r="Q106"/>
      <s:c r="U106" s="1"/>
      <s:c r="V106"/>
    </s:row>
    <s:row x14ac:dyDescent="0.25" r="107" spans="1:22" ht="15.75" customHeight="1">
      <s:c r="A107" s="46"/>
      <s:c r="B107" s="46"/>
      <s:c r="C107" s="17"/>
      <s:c r="D107" s="17"/>
      <s:c r="E107" s="17"/>
      <s:c r="F107" s="17"/>
      <s:c r="G107" s="17"/>
      <s:c r="H107" s="17"/>
      <s:c r="I107" s="17" t="s">
        <s:v>136</s:v>
      </s:c>
      <s:c r="J107" s="17">
        <s:v>72000</s:v>
      </s:c>
      <s:c r="K107" s="17">
        <s:f>J107/164.3</s:f>
        <s:v>438.22276323797928</s:v>
      </s:c>
      <s:c r="L107" s="17">
        <s:v>8</s:v>
      </s:c>
      <s:c r="M107" s="17">
        <s:f>K107*L107</s:f>
        <s:v>3505.7821059038342</s:v>
      </s:c>
      <s:c r="N107" s="17">
        <s:f>M107*0.302</s:f>
        <s:v>1058.7461959829579</s:v>
      </s:c>
      <s:c r="O107" s="17">
        <s:f>(M107+N107)*2</s:f>
        <s:v>9129.0566037735844</s:v>
      </s:c>
      <s:c r="P107" s="17">
        <s:f>H108+M107+N107+O107</s:f>
        <s:v>14418.584905660377</s:v>
      </s:c>
      <s:c r="Q107"/>
      <s:c r="U107" s="1"/>
      <s:c r="V107"/>
    </s:row>
    <s:row x14ac:dyDescent="0.25" r="108" spans="1:22" ht="15.75" customHeight="1">
      <s:c r="A108" s="47" t="s">
        <s:v>55</s:v>
      </s:c>
      <s:c r="B108" s="17"/>
      <s:c r="C108" s="17"/>
      <s:c r="D108" s="17"/>
      <s:c r="E108" s="17"/>
      <s:c r="F108" s="17"/>
      <s:c r="G108" s="17"/>
      <s:c r="H108" s="47">
        <s:f>SUM(H103:H106)</s:f>
        <s:v>725</s:v>
      </s:c>
      <s:c r="I108" s="17"/>
      <s:c r="J108" s="17"/>
      <s:c r="K108" s="17"/>
      <s:c r="L108" s="17"/>
      <s:c r="M108" s="47">
        <s:f>SUM(M107:M107)</s:f>
        <s:v>3505.7821059038342</s:v>
      </s:c>
      <s:c r="N108" s="47">
        <s:f>SUM(N107:N107)</s:f>
        <s:v>1058.7461959829579</s:v>
      </s:c>
      <s:c r="O108" s="47">
        <s:f>SUM(O107:O107)</s:f>
        <s:v>9129.0566037735844</s:v>
      </s:c>
      <s:c r="P108" s="47">
        <s:f>SUM(P107:P107)</s:f>
        <s:v>14418.584905660377</s:v>
      </s:c>
      <s:c r="Q108"/>
      <s:c r="U108" s="1"/>
      <s:c r="V108"/>
    </s:row>
    <s:row x14ac:dyDescent="0.25" r="109" spans="1:22" ht="15.75" customHeight="1">
      <s:c r="A109" s="32" t="s">
        <s:v>146</s:v>
      </s:c>
      <s:c r="B109" s="31" t="s">
        <s:v>147</s:v>
      </s:c>
      <s:c r="C109" s="17" t="s">
        <s:v>148</s:v>
      </s:c>
      <s:c r="D109" s="17" t="s">
        <s:v>129</s:v>
      </s:c>
      <s:c r="E109" s="17" t="s">
        <s:v>30</s:v>
      </s:c>
      <s:c r="F109" s="17">
        <s:v>2.5</s:v>
      </s:c>
      <s:c r="G109" s="17">
        <s:v>1200</s:v>
      </s:c>
      <s:c r="H109" s="17">
        <s:f>F109*G109</s:f>
        <s:v>3000</s:v>
      </s:c>
      <s:c r="I109" s="17"/>
      <s:c r="J109" s="17"/>
      <s:c r="K109" s="17"/>
      <s:c r="L109" s="17"/>
      <s:c r="M109" s="17"/>
      <s:c r="N109" s="17"/>
      <s:c r="O109" s="17"/>
      <s:c r="P109" s="17"/>
      <s:c r="Q109"/>
      <s:c r="U109" s="1"/>
      <s:c r="V109"/>
    </s:row>
    <s:row x14ac:dyDescent="0.25" r="110" spans="1:22" ht="15.75" customHeight="1">
      <s:c r="A110" s="46"/>
      <s:c r="B110" s="46"/>
      <s:c r="C110" s="17" t="s">
        <s:v>149</s:v>
      </s:c>
      <s:c r="D110" s="17" t="s">
        <s:v>129</s:v>
      </s:c>
      <s:c r="E110" s="17" t="s">
        <s:v>30</s:v>
      </s:c>
      <s:c r="F110" s="17">
        <s:v>1.2</s:v>
      </s:c>
      <s:c r="G110" s="17">
        <s:v>850</s:v>
      </s:c>
      <s:c r="H110" s="17">
        <s:f>F110*G110</s:f>
        <s:v>1020</s:v>
      </s:c>
      <s:c r="I110" s="17"/>
      <s:c r="J110" s="17"/>
      <s:c r="K110" s="17"/>
      <s:c r="L110" s="17"/>
      <s:c r="M110" s="17"/>
      <s:c r="N110" s="17"/>
      <s:c r="O110" s="17"/>
      <s:c r="P110" s="17"/>
      <s:c r="Q110"/>
      <s:c r="U110" s="1"/>
      <s:c r="V110"/>
    </s:row>
    <s:row x14ac:dyDescent="0.25" r="111" spans="1:22" ht="15.75" customHeight="1">
      <s:c r="A111" s="46"/>
      <s:c r="B111" s="46"/>
      <s:c r="C111" s="17" t="s">
        <s:v>150</s:v>
      </s:c>
      <s:c r="D111" s="17" t="s">
        <s:v>129</s:v>
      </s:c>
      <s:c r="E111" s="17" t="s">
        <s:v>34</s:v>
      </s:c>
      <s:c r="F111" s="17">
        <s:v>0.1</s:v>
      </s:c>
      <s:c r="G111" s="17">
        <s:v>800</s:v>
      </s:c>
      <s:c r="H111" s="17">
        <s:f>F111*G111</s:f>
        <s:v>80</s:v>
      </s:c>
      <s:c r="I111" s="17"/>
      <s:c r="J111" s="17"/>
      <s:c r="K111" s="17"/>
      <s:c r="L111" s="17"/>
      <s:c r="M111" s="17"/>
      <s:c r="N111" s="17"/>
      <s:c r="O111" s="17"/>
      <s:c r="P111" s="17"/>
      <s:c r="Q111"/>
      <s:c r="U111" s="1"/>
      <s:c r="V111"/>
    </s:row>
    <s:row x14ac:dyDescent="0.25" r="112" spans="1:22" ht="15.75" customHeight="1">
      <s:c r="A112" s="46"/>
      <s:c r="B112" s="46"/>
      <s:c r="C112" s="17" t="s">
        <s:v>151</s:v>
      </s:c>
      <s:c r="D112" s="17" t="s">
        <s:v>132</s:v>
      </s:c>
      <s:c r="E112" s="17" t="s">
        <s:v>133</s:v>
      </s:c>
      <s:c r="F112" s="17">
        <s:v>4</s:v>
      </s:c>
      <s:c r="G112" s="17">
        <s:v>40</s:v>
      </s:c>
      <s:c r="H112" s="17">
        <s:f>F112*G112</s:f>
        <s:v>160</s:v>
      </s:c>
      <s:c r="I112" s="17"/>
      <s:c r="J112" s="17"/>
      <s:c r="K112" s="17"/>
      <s:c r="L112" s="17"/>
      <s:c r="M112" s="17"/>
      <s:c r="N112" s="17"/>
      <s:c r="O112" s="17"/>
      <s:c r="P112" s="17"/>
      <s:c r="Q112"/>
      <s:c r="U112" s="1"/>
      <s:c r="V112"/>
    </s:row>
    <s:row x14ac:dyDescent="0.25" r="113" spans="1:22" ht="15.75" customHeight="1">
      <s:c r="A113" s="46"/>
      <s:c r="B113" s="46"/>
      <s:c r="C113" s="17" t="s">
        <s:v>134</s:v>
      </s:c>
      <s:c r="D113" s="17" t="s">
        <s:v>135</s:v>
      </s:c>
      <s:c r="E113" s="17" t="s">
        <s:v>133</s:v>
      </s:c>
      <s:c r="F113" s="17">
        <s:v>2</s:v>
      </s:c>
      <s:c r="G113" s="17">
        <s:v>150</s:v>
      </s:c>
      <s:c r="H113" s="17">
        <s:f>F113*G113</s:f>
        <s:v>300</s:v>
      </s:c>
      <s:c r="I113" s="17"/>
      <s:c r="J113" s="17"/>
      <s:c r="K113" s="17"/>
      <s:c r="L113" s="17"/>
      <s:c r="M113" s="17"/>
      <s:c r="N113" s="17"/>
      <s:c r="O113" s="17"/>
      <s:c r="P113" s="17"/>
      <s:c r="Q113"/>
      <s:c r="U113" s="1"/>
      <s:c r="V113"/>
    </s:row>
    <s:row x14ac:dyDescent="0.25" r="114" spans="1:22" ht="15.75" customHeight="1">
      <s:c r="A114" s="46"/>
      <s:c r="B114" s="46"/>
      <s:c r="C114" s="17"/>
      <s:c r="D114" s="17"/>
      <s:c r="E114" s="17"/>
      <s:c r="F114" s="17"/>
      <s:c r="G114" s="17"/>
      <s:c r="H114" s="17"/>
      <s:c r="I114" s="17" t="s">
        <s:v>136</s:v>
      </s:c>
      <s:c r="J114" s="17">
        <s:v>72000</s:v>
      </s:c>
      <s:c r="K114" s="17">
        <s:f>J114/164.3</s:f>
        <s:v>438.22276323797928</s:v>
      </s:c>
      <s:c r="L114" s="17">
        <s:v>10</s:v>
      </s:c>
      <s:c r="M114" s="17">
        <s:f>K114*L114</s:f>
        <s:v>4382.2276323797923</s:v>
      </s:c>
      <s:c r="N114" s="17">
        <s:f>M114*0.302</s:f>
        <s:v>1323.4327449786972</s:v>
      </s:c>
      <s:c r="O114" s="17">
        <s:f>(M114+N114)*2</s:f>
        <s:v>11411.320754716979</s:v>
      </s:c>
      <s:c r="P114" s="17">
        <s:f>H115+M114+N114+O114</s:f>
        <s:v>21676.981132075467</s:v>
      </s:c>
      <s:c r="Q114"/>
      <s:c r="U114" s="1"/>
      <s:c r="V114"/>
    </s:row>
    <s:row x14ac:dyDescent="0.25" r="115" spans="1:22" ht="15.75" customHeight="1">
      <s:c r="A115" s="47" t="s">
        <s:v>55</s:v>
      </s:c>
      <s:c r="B115" s="17"/>
      <s:c r="C115" s="17"/>
      <s:c r="D115" s="17"/>
      <s:c r="E115" s="17"/>
      <s:c r="F115" s="17"/>
      <s:c r="G115" s="17"/>
      <s:c r="H115" s="47">
        <s:f>SUM(H109:H113)</s:f>
        <s:v>4560</s:v>
      </s:c>
      <s:c r="I115" s="17"/>
      <s:c r="J115" s="17"/>
      <s:c r="K115" s="17"/>
      <s:c r="L115" s="17"/>
      <s:c r="M115" s="47">
        <s:f>SUM(M114:M114)</s:f>
        <s:v>4382.2276323797923</s:v>
      </s:c>
      <s:c r="N115" s="47">
        <s:f>SUM(N114:N114)</s:f>
        <s:v>1323.4327449786972</s:v>
      </s:c>
      <s:c r="O115" s="47">
        <s:f>SUM(O114:O114)</s:f>
        <s:v>11411.320754716979</s:v>
      </s:c>
      <s:c r="P115" s="47">
        <s:f>SUM(P114:P114)</s:f>
        <s:v>21676.981132075467</s:v>
      </s:c>
      <s:c r="Q115"/>
      <s:c r="U115" s="1"/>
      <s:c r="V115"/>
    </s:row>
    <s:row x14ac:dyDescent="0.25" r="116" spans="1:22" ht="15.75" customHeight="1">
      <s:c r="A116" s="32" t="s">
        <s:v>152</s:v>
      </s:c>
      <s:c r="B116" s="31" t="s">
        <s:v>153</s:v>
      </s:c>
      <s:c r="C116" s="17" t="s">
        <s:v>154</s:v>
      </s:c>
      <s:c r="D116" s="17" t="s">
        <s:v>129</s:v>
      </s:c>
      <s:c r="E116" s="17" t="s">
        <s:v>30</s:v>
      </s:c>
      <s:c r="F116" s="17">
        <s:v>2.2000000000000002</s:v>
      </s:c>
      <s:c r="G116" s="17">
        <s:v>590</s:v>
      </s:c>
      <s:c r="H116" s="17">
        <s:f>F116*G116</s:f>
        <s:v>1298</s:v>
      </s:c>
      <s:c r="I116" s="17"/>
      <s:c r="J116" s="17"/>
      <s:c r="K116" s="17"/>
      <s:c r="L116" s="17"/>
      <s:c r="M116" s="17"/>
      <s:c r="N116" s="17"/>
      <s:c r="O116" s="17"/>
      <s:c r="P116" s="17"/>
      <s:c r="Q116"/>
      <s:c r="U116" s="1"/>
      <s:c r="V116"/>
    </s:row>
    <s:row x14ac:dyDescent="0.25" r="117" spans="1:22" ht="15.75" customHeight="1">
      <s:c r="A117" s="46"/>
      <s:c r="B117" s="46"/>
      <s:c r="C117" s="17" t="s">
        <s:v>145</s:v>
      </s:c>
      <s:c r="D117" s="17" t="s">
        <s:v>132</s:v>
      </s:c>
      <s:c r="E117" s="17" t="s">
        <s:v>133</s:v>
      </s:c>
      <s:c r="F117" s="17">
        <s:v>1</s:v>
      </s:c>
      <s:c r="G117" s="17">
        <s:v>65</s:v>
      </s:c>
      <s:c r="H117" s="17">
        <s:f>F117*G117</s:f>
        <s:v>65</s:v>
      </s:c>
      <s:c r="I117" s="17"/>
      <s:c r="J117" s="17"/>
      <s:c r="K117" s="17"/>
      <s:c r="L117" s="17"/>
      <s:c r="M117" s="17"/>
      <s:c r="N117" s="17"/>
      <s:c r="O117" s="17"/>
      <s:c r="P117" s="17"/>
      <s:c r="Q117"/>
      <s:c r="U117" s="1"/>
      <s:c r="V117"/>
    </s:row>
    <s:row x14ac:dyDescent="0.25" r="118" spans="1:22" ht="15.75" customHeight="1">
      <s:c r="A118" s="46"/>
      <s:c r="B118" s="46"/>
      <s:c r="C118" s="17" t="s">
        <s:v>134</s:v>
      </s:c>
      <s:c r="D118" s="17" t="s">
        <s:v>135</s:v>
      </s:c>
      <s:c r="E118" s="17" t="s">
        <s:v>133</s:v>
      </s:c>
      <s:c r="F118" s="17">
        <s:v>2</s:v>
      </s:c>
      <s:c r="G118" s="17">
        <s:v>150</s:v>
      </s:c>
      <s:c r="H118" s="17">
        <s:f>F118*G118</s:f>
        <s:v>300</s:v>
      </s:c>
      <s:c r="I118" s="17"/>
      <s:c r="J118" s="17"/>
      <s:c r="K118" s="17"/>
      <s:c r="L118" s="17"/>
      <s:c r="M118" s="17"/>
      <s:c r="N118" s="17"/>
      <s:c r="O118" s="17"/>
      <s:c r="P118" s="17"/>
      <s:c r="Q118"/>
      <s:c r="U118" s="1"/>
      <s:c r="V118"/>
    </s:row>
    <s:row x14ac:dyDescent="0.25" r="119" spans="1:22" ht="15.75" customHeight="1">
      <s:c r="A119" s="46"/>
      <s:c r="B119" s="46"/>
      <s:c r="C119" s="17"/>
      <s:c r="D119" s="17"/>
      <s:c r="E119" s="17"/>
      <s:c r="F119" s="17"/>
      <s:c r="G119" s="17"/>
      <s:c r="H119" s="17"/>
      <s:c r="I119" s="17" t="s">
        <s:v>136</s:v>
      </s:c>
      <s:c r="J119" s="17">
        <s:v>72000</s:v>
      </s:c>
      <s:c r="K119" s="17">
        <s:f>J119/164.3</s:f>
        <s:v>438.22276323797928</s:v>
      </s:c>
      <s:c r="L119" s="17">
        <s:v>8</s:v>
      </s:c>
      <s:c r="M119" s="17">
        <s:f>K119*L119</s:f>
        <s:v>3505.7821059038342</s:v>
      </s:c>
      <s:c r="N119" s="17">
        <s:f>M119*0.302</s:f>
        <s:v>1058.7461959829579</s:v>
      </s:c>
      <s:c r="O119" s="17">
        <s:f>(M119+N119)*2</s:f>
        <s:v>9129.0566037735844</s:v>
      </s:c>
      <s:c r="P119" s="17">
        <s:f>H120+M119+N119+O119</s:f>
        <s:v>15356.584905660377</s:v>
      </s:c>
      <s:c r="Q119"/>
      <s:c r="U119" s="1"/>
      <s:c r="V119"/>
    </s:row>
    <s:row x14ac:dyDescent="0.25" r="120" spans="1:22" ht="15.75" customHeight="1">
      <s:c r="A120" s="47" t="s">
        <s:v>55</s:v>
      </s:c>
      <s:c r="B120" s="17"/>
      <s:c r="C120" s="17"/>
      <s:c r="D120" s="17"/>
      <s:c r="E120" s="17"/>
      <s:c r="F120" s="17"/>
      <s:c r="G120" s="17"/>
      <s:c r="H120" s="47">
        <s:f>SUM(H116:H118)</s:f>
        <s:v>1663</s:v>
      </s:c>
      <s:c r="I120" s="17"/>
      <s:c r="J120" s="17"/>
      <s:c r="K120" s="17"/>
      <s:c r="L120" s="17"/>
      <s:c r="M120" s="47">
        <s:f>SUM(M119:M119)</s:f>
        <s:v>3505.7821059038342</s:v>
      </s:c>
      <s:c r="N120" s="47">
        <s:f>SUM(N119:N119)</s:f>
        <s:v>1058.7461959829579</s:v>
      </s:c>
      <s:c r="O120" s="47">
        <s:f>SUM(O119:O119)</s:f>
        <s:v>9129.0566037735844</s:v>
      </s:c>
      <s:c r="P120" s="47">
        <s:f>SUM(P119:P119)</s:f>
        <s:v>15356.584905660377</s:v>
      </s:c>
      <s:c r="Q120"/>
      <s:c r="U120" s="1"/>
      <s:c r="V120"/>
    </s:row>
    <s:row x14ac:dyDescent="0.25" r="121" spans="1:22" ht="15.75" customHeight="1">
      <s:c r="A121" s="32" t="s">
        <s:v>155</s:v>
      </s:c>
      <s:c r="B121" s="31" t="s">
        <s:v>156</s:v>
      </s:c>
      <s:c r="C121" s="17" t="s">
        <s:v>157</s:v>
      </s:c>
      <s:c r="D121" s="17" t="s">
        <s:v>129</s:v>
      </s:c>
      <s:c r="E121" s="17" t="s">
        <s:v>30</s:v>
      </s:c>
      <s:c r="F121" s="17">
        <s:v>2</s:v>
      </s:c>
      <s:c r="G121" s="17">
        <s:v>400</s:v>
      </s:c>
      <s:c r="H121" s="17">
        <s:f>F121*G121</s:f>
        <s:v>800</s:v>
      </s:c>
      <s:c r="I121" s="17"/>
      <s:c r="J121" s="17"/>
      <s:c r="K121" s="17"/>
      <s:c r="L121" s="17"/>
      <s:c r="M121" s="17"/>
      <s:c r="N121" s="17"/>
      <s:c r="O121" s="17"/>
      <s:c r="P121" s="17"/>
      <s:c r="Q121"/>
      <s:c r="U121" s="1"/>
      <s:c r="V121"/>
    </s:row>
    <s:row x14ac:dyDescent="0.25" r="122" spans="1:22" ht="15.75" customHeight="1">
      <s:c r="A122" s="46"/>
      <s:c r="B122" s="46"/>
      <s:c r="C122" s="17" t="s">
        <s:v>141</s:v>
      </s:c>
      <s:c r="D122" s="17" t="s">
        <s:v>132</s:v>
      </s:c>
      <s:c r="E122" s="17" t="s">
        <s:v>133</s:v>
      </s:c>
      <s:c r="F122" s="17">
        <s:v>3</s:v>
      </s:c>
      <s:c r="G122" s="17">
        <s:v>30</s:v>
      </s:c>
      <s:c r="H122" s="17">
        <s:f>F122*G122</s:f>
        <s:v>90</s:v>
      </s:c>
      <s:c r="I122" s="17"/>
      <s:c r="J122" s="17"/>
      <s:c r="K122" s="17"/>
      <s:c r="L122" s="17"/>
      <s:c r="M122" s="17"/>
      <s:c r="N122" s="17"/>
      <s:c r="O122" s="17"/>
      <s:c r="P122" s="17"/>
      <s:c r="Q122"/>
      <s:c r="U122" s="1"/>
      <s:c r="V122"/>
    </s:row>
    <s:row x14ac:dyDescent="0.25" r="123" spans="1:22" ht="15.75" customHeight="1">
      <s:c r="A123" s="46"/>
      <s:c r="B123" s="46"/>
      <s:c r="C123" s="17" t="s">
        <s:v>158</s:v>
      </s:c>
      <s:c r="D123" s="17" t="s">
        <s:v>129</s:v>
      </s:c>
      <s:c r="E123" s="17" t="s">
        <s:v>30</s:v>
      </s:c>
      <s:c r="F123" s="17">
        <s:v>0.5</s:v>
      </s:c>
      <s:c r="G123" s="17">
        <s:v>50</s:v>
      </s:c>
      <s:c r="H123" s="17">
        <s:f>F123*G123</s:f>
        <s:v>25</s:v>
      </s:c>
      <s:c r="I123" s="17"/>
      <s:c r="J123" s="17"/>
      <s:c r="K123" s="17"/>
      <s:c r="L123" s="17"/>
      <s:c r="M123" s="17"/>
      <s:c r="N123" s="17"/>
      <s:c r="O123" s="17"/>
      <s:c r="P123" s="17"/>
      <s:c r="Q123"/>
      <s:c r="U123" s="1"/>
      <s:c r="V123"/>
    </s:row>
    <s:row x14ac:dyDescent="0.25" r="124" spans="1:22" ht="15.75" customHeight="1">
      <s:c r="A124" s="46"/>
      <s:c r="B124" s="46"/>
      <s:c r="C124" s="17" t="s">
        <s:v>134</s:v>
      </s:c>
      <s:c r="D124" s="17" t="s">
        <s:v>135</s:v>
      </s:c>
      <s:c r="E124" s="17" t="s">
        <s:v>133</s:v>
      </s:c>
      <s:c r="F124" s="17">
        <s:v>1</s:v>
      </s:c>
      <s:c r="G124" s="17">
        <s:v>150</s:v>
      </s:c>
      <s:c r="H124" s="17">
        <s:f>F124*G124</s:f>
        <s:v>150</s:v>
      </s:c>
      <s:c r="I124" s="17"/>
      <s:c r="J124" s="17"/>
      <s:c r="K124" s="17"/>
      <s:c r="L124" s="17"/>
      <s:c r="M124" s="17"/>
      <s:c r="N124" s="17"/>
      <s:c r="O124" s="17"/>
      <s:c r="P124" s="17"/>
      <s:c r="Q124"/>
      <s:c r="U124" s="1"/>
      <s:c r="V124"/>
    </s:row>
    <s:row x14ac:dyDescent="0.25" r="125" spans="1:22" ht="15.75" customHeight="1">
      <s:c r="A125" s="46"/>
      <s:c r="B125" s="46"/>
      <s:c r="C125" s="17"/>
      <s:c r="D125" s="17"/>
      <s:c r="E125" s="17"/>
      <s:c r="F125" s="17"/>
      <s:c r="G125" s="17"/>
      <s:c r="H125" s="17"/>
      <s:c r="I125" s="17" t="s">
        <s:v>136</s:v>
      </s:c>
      <s:c r="J125" s="17">
        <s:v>72000</s:v>
      </s:c>
      <s:c r="K125" s="17">
        <s:f>J125/164.3</s:f>
        <s:v>438.22276323797928</s:v>
      </s:c>
      <s:c r="L125" s="17">
        <s:v>7</s:v>
      </s:c>
      <s:c r="M125" s="17">
        <s:f>K125*L125</s:f>
        <s:v>3067.5593426658552</s:v>
      </s:c>
      <s:c r="N125" s="17">
        <s:f>M125*0.302</s:f>
        <s:v>926.4029214850882</s:v>
      </s:c>
      <s:c r="O125" s="17">
        <s:f>(M125+N125)*2</s:f>
        <s:v>7987.9245283018863</s:v>
      </s:c>
      <s:c r="P125" s="17">
        <s:f>H126+M125+N125+O125</s:f>
        <s:v>13046.886792452829</s:v>
      </s:c>
      <s:c r="Q125"/>
      <s:c r="U125" s="1"/>
      <s:c r="V125"/>
    </s:row>
    <s:row x14ac:dyDescent="0.25" r="126" spans="1:22" ht="15.75" customHeight="1">
      <s:c r="A126" s="47" t="s">
        <s:v>55</s:v>
      </s:c>
      <s:c r="B126" s="17"/>
      <s:c r="C126" s="17"/>
      <s:c r="D126" s="17"/>
      <s:c r="E126" s="17"/>
      <s:c r="F126" s="17"/>
      <s:c r="G126" s="17"/>
      <s:c r="H126" s="47">
        <s:f>SUM(H121:H124)</s:f>
        <s:v>1065</s:v>
      </s:c>
      <s:c r="I126" s="17"/>
      <s:c r="J126" s="17"/>
      <s:c r="K126" s="17"/>
      <s:c r="L126" s="17"/>
      <s:c r="M126" s="47">
        <s:f>SUM(M125:M125)</s:f>
        <s:v>3067.5593426658552</s:v>
      </s:c>
      <s:c r="N126" s="47">
        <s:f>SUM(N125:N125)</s:f>
        <s:v>926.4029214850882</s:v>
      </s:c>
      <s:c r="O126" s="47">
        <s:f>SUM(O125:O125)</s:f>
        <s:v>7987.9245283018863</s:v>
      </s:c>
      <s:c r="P126" s="47">
        <s:f>SUM(P125:P125)</s:f>
        <s:v>13046.886792452829</s:v>
      </s:c>
      <s:c r="Q126"/>
      <s:c r="U126" s="1"/>
      <s:c r="V126"/>
    </s:row>
    <s:row x14ac:dyDescent="0.25" r="127" spans="1:22" ht="15.75" customHeight="1">
      <s:c r="A127" s="32" t="s">
        <s:v>159</s:v>
      </s:c>
      <s:c r="B127" s="31" t="s">
        <s:v>160</s:v>
      </s:c>
      <s:c r="C127" s="17" t="s">
        <s:v>161</s:v>
      </s:c>
      <s:c r="D127" s="17" t="s">
        <s:v>129</s:v>
      </s:c>
      <s:c r="E127" s="17" t="s">
        <s:v>30</s:v>
      </s:c>
      <s:c r="F127" s="17">
        <s:v>1.5</s:v>
      </s:c>
      <s:c r="G127" s="17">
        <s:v>1200</s:v>
      </s:c>
      <s:c r="H127" s="17">
        <s:f>F127*G127</s:f>
        <s:v>1800</s:v>
      </s:c>
      <s:c r="I127" s="17"/>
      <s:c r="J127" s="17"/>
      <s:c r="K127" s="17"/>
      <s:c r="L127" s="17"/>
      <s:c r="M127" s="17"/>
      <s:c r="N127" s="17"/>
      <s:c r="O127" s="17"/>
      <s:c r="P127" s="17"/>
      <s:c r="Q127"/>
      <s:c r="U127" s="1"/>
      <s:c r="V127"/>
    </s:row>
    <s:row x14ac:dyDescent="0.25" r="128" spans="1:22" ht="15.75" customHeight="1">
      <s:c r="A128" s="46"/>
      <s:c r="B128" s="46"/>
      <s:c r="C128" s="17" t="s">
        <s:v>162</s:v>
      </s:c>
      <s:c r="D128" s="17" t="s">
        <s:v>129</s:v>
      </s:c>
      <s:c r="E128" s="17" t="s">
        <s:v>30</s:v>
      </s:c>
      <s:c r="F128" s="17">
        <s:v>1.5</s:v>
      </s:c>
      <s:c r="G128" s="17">
        <s:v>250</s:v>
      </s:c>
      <s:c r="H128" s="17">
        <s:f>F128*G128</s:f>
        <s:v>375</s:v>
      </s:c>
      <s:c r="I128" s="17"/>
      <s:c r="J128" s="17"/>
      <s:c r="K128" s="17"/>
      <s:c r="L128" s="17"/>
      <s:c r="M128" s="17"/>
      <s:c r="N128" s="17"/>
      <s:c r="O128" s="17"/>
      <s:c r="P128" s="17"/>
      <s:c r="Q128"/>
      <s:c r="U128" s="1"/>
      <s:c r="V128"/>
    </s:row>
    <s:row x14ac:dyDescent="0.25" r="129" spans="1:22" ht="15.75" customHeight="1">
      <s:c r="A129" s="46"/>
      <s:c r="B129" s="46"/>
      <s:c r="C129" s="17" t="s">
        <s:v>163</s:v>
      </s:c>
      <s:c r="D129" s="17" t="s">
        <s:v>132</s:v>
      </s:c>
      <s:c r="E129" s="17" t="s">
        <s:v>133</s:v>
      </s:c>
      <s:c r="F129" s="17">
        <s:v>1</s:v>
      </s:c>
      <s:c r="G129" s="17">
        <s:v>350</s:v>
      </s:c>
      <s:c r="H129" s="17">
        <s:f>F129*G129</s:f>
        <s:v>350</s:v>
      </s:c>
      <s:c r="I129" s="17"/>
      <s:c r="J129" s="17"/>
      <s:c r="K129" s="17"/>
      <s:c r="L129" s="17"/>
      <s:c r="M129" s="17"/>
      <s:c r="N129" s="17"/>
      <s:c r="O129" s="17"/>
      <s:c r="P129" s="17"/>
      <s:c r="Q129"/>
      <s:c r="U129" s="1"/>
      <s:c r="V129"/>
    </s:row>
    <s:row x14ac:dyDescent="0.25" r="130" spans="1:22" ht="15.75" customHeight="1">
      <s:c r="A130" s="46"/>
      <s:c r="B130" s="46"/>
      <s:c r="C130" s="17" t="s">
        <s:v>134</s:v>
      </s:c>
      <s:c r="D130" s="17" t="s">
        <s:v>135</s:v>
      </s:c>
      <s:c r="E130" s="17" t="s">
        <s:v>133</s:v>
      </s:c>
      <s:c r="F130" s="17">
        <s:v>1</s:v>
      </s:c>
      <s:c r="G130" s="17">
        <s:v>150</s:v>
      </s:c>
      <s:c r="H130" s="17">
        <s:f>F130*G130</s:f>
        <s:v>150</s:v>
      </s:c>
      <s:c r="I130" s="17"/>
      <s:c r="J130" s="17"/>
      <s:c r="K130" s="17"/>
      <s:c r="L130" s="17"/>
      <s:c r="M130" s="17"/>
      <s:c r="N130" s="17"/>
      <s:c r="O130" s="17"/>
      <s:c r="P130" s="17"/>
      <s:c r="Q130"/>
      <s:c r="U130" s="1"/>
      <s:c r="V130"/>
    </s:row>
    <s:row x14ac:dyDescent="0.25" r="131" spans="1:22" ht="15.75" customHeight="1">
      <s:c r="A131" s="46"/>
      <s:c r="B131" s="46"/>
      <s:c r="C131" s="17"/>
      <s:c r="D131" s="17"/>
      <s:c r="E131" s="17"/>
      <s:c r="F131" s="17"/>
      <s:c r="G131" s="17"/>
      <s:c r="H131" s="17"/>
      <s:c r="I131" s="17" t="s">
        <s:v>136</s:v>
      </s:c>
      <s:c r="J131" s="17">
        <s:v>72000</s:v>
      </s:c>
      <s:c r="K131" s="17">
        <s:f>J131/164.3</s:f>
        <s:v>438.22276323797928</s:v>
      </s:c>
      <s:c r="L131" s="17">
        <s:v>6</s:v>
      </s:c>
      <s:c r="M131" s="17">
        <s:f>K131*L131</s:f>
        <s:v>2629.3365794278757</s:v>
      </s:c>
      <s:c r="N131" s="17">
        <s:f>M131*0.302</s:f>
        <s:v>794.05964698721846</s:v>
      </s:c>
      <s:c r="O131" s="17">
        <s:f>(M131+N131)*2</s:f>
        <s:v>6846.7924528301883</s:v>
      </s:c>
      <s:c r="P131" s="17">
        <s:f>H132+M131+N131+O131</s:f>
        <s:v>12945.188679245282</s:v>
      </s:c>
      <s:c r="Q131"/>
      <s:c r="U131" s="1"/>
      <s:c r="V131"/>
    </s:row>
    <s:row x14ac:dyDescent="0.25" r="132" spans="1:22" ht="15.75" customHeight="1">
      <s:c r="A132" s="47" t="s">
        <s:v>55</s:v>
      </s:c>
      <s:c r="B132" s="48"/>
      <s:c r="C132" s="48"/>
      <s:c r="D132" s="48"/>
      <s:c r="E132" s="48"/>
      <s:c r="F132" s="48"/>
      <s:c r="G132" s="48"/>
      <s:c r="H132" s="47">
        <s:f>SUM(H127:H130)</s:f>
        <s:v>2675</s:v>
      </s:c>
      <s:c r="I132" s="48"/>
      <s:c r="J132" s="48"/>
      <s:c r="K132" s="48"/>
      <s:c r="L132" s="48"/>
      <s:c r="M132" s="47">
        <s:f>SUM(M131:M131)</s:f>
        <s:v>2629.3365794278757</s:v>
      </s:c>
      <s:c r="N132" s="47">
        <s:f>SUM(N131:N131)</s:f>
        <s:v>794.05964698721846</s:v>
      </s:c>
      <s:c r="O132" s="47">
        <s:f>SUM(O131:O131)</s:f>
        <s:v>6846.7924528301883</s:v>
      </s:c>
      <s:c r="P132" s="47">
        <s:f>SUM(P131:P131)</s:f>
        <s:v>12945.188679245282</s:v>
      </s:c>
      <s:c r="Q132"/>
      <s:c r="U132" s="1"/>
      <s:c r="V132"/>
    </s:row>
    <s:row x14ac:dyDescent="0.25" r="133" spans="1:22" ht="15.75" customHeight="1">
      <s:c r="A133" s="32" t="s">
        <s:v>164</s:v>
      </s:c>
      <s:c r="B133" s="31" t="s">
        <s:v>165</s:v>
      </s:c>
      <s:c r="C133" s="17" t="s">
        <s:v>166</s:v>
      </s:c>
      <s:c r="D133" s="17" t="s">
        <s:v>129</s:v>
      </s:c>
      <s:c r="E133" s="17" t="s">
        <s:v>30</s:v>
      </s:c>
      <s:c r="F133" s="17">
        <s:v>2.8</s:v>
      </s:c>
      <s:c r="G133" s="17">
        <s:v>1000</s:v>
      </s:c>
      <s:c r="H133" s="17">
        <s:f>F133*G133</s:f>
        <s:v>2800</s:v>
      </s:c>
      <s:c r="I133" s="17"/>
      <s:c r="J133" s="17"/>
      <s:c r="K133" s="17"/>
      <s:c r="L133" s="17"/>
      <s:c r="M133" s="17"/>
      <s:c r="N133" s="17"/>
      <s:c r="O133" s="17"/>
      <s:c r="P133" s="17"/>
      <s:c r="Q133"/>
      <s:c r="U133" s="1"/>
      <s:c r="V133"/>
    </s:row>
    <s:row x14ac:dyDescent="0.25" r="134" spans="1:22" ht="15.75" customHeight="1">
      <s:c r="A134" s="46"/>
      <s:c r="B134" s="46"/>
      <s:c r="C134" s="17" t="s">
        <s:v>167</s:v>
      </s:c>
      <s:c r="D134" s="17" t="s">
        <s:v>129</s:v>
      </s:c>
      <s:c r="E134" s="17" t="s">
        <s:v>30</s:v>
      </s:c>
      <s:c r="F134" s="17">
        <s:v>2.5</s:v>
      </s:c>
      <s:c r="G134" s="17">
        <s:v>250</s:v>
      </s:c>
      <s:c r="H134" s="17">
        <s:f>F134*G134</s:f>
        <s:v>625</s:v>
      </s:c>
      <s:c r="I134" s="17"/>
      <s:c r="J134" s="17"/>
      <s:c r="K134" s="17"/>
      <s:c r="L134" s="17"/>
      <s:c r="M134" s="17"/>
      <s:c r="N134" s="17"/>
      <s:c r="O134" s="17"/>
      <s:c r="P134" s="17"/>
      <s:c r="Q134"/>
      <s:c r="U134" s="1"/>
      <s:c r="V134"/>
    </s:row>
    <s:row x14ac:dyDescent="0.25" r="135" spans="1:22" ht="15.75" customHeight="1">
      <s:c r="A135" s="46"/>
      <s:c r="B135" s="46"/>
      <s:c r="C135" s="17" t="s">
        <s:v>168</s:v>
      </s:c>
      <s:c r="D135" s="17" t="s">
        <s:v>132</s:v>
      </s:c>
      <s:c r="E135" s="17" t="s">
        <s:v>133</s:v>
      </s:c>
      <s:c r="F135" s="17">
        <s:v>6</s:v>
      </s:c>
      <s:c r="G135" s="17">
        <s:v>40</s:v>
      </s:c>
      <s:c r="H135" s="17">
        <s:f>F135*G135</s:f>
        <s:v>240</s:v>
      </s:c>
      <s:c r="I135" s="17"/>
      <s:c r="J135" s="17"/>
      <s:c r="K135" s="17"/>
      <s:c r="L135" s="17"/>
      <s:c r="M135" s="17"/>
      <s:c r="N135" s="17"/>
      <s:c r="O135" s="17"/>
      <s:c r="P135" s="17"/>
      <s:c r="Q135"/>
      <s:c r="U135" s="1"/>
      <s:c r="V135"/>
    </s:row>
    <s:row x14ac:dyDescent="0.25" r="136" spans="1:22" ht="15.75" customHeight="1">
      <s:c r="A136" s="46"/>
      <s:c r="B136" s="46"/>
      <s:c r="C136" s="17" t="s">
        <s:v>134</s:v>
      </s:c>
      <s:c r="D136" s="17" t="s">
        <s:v>135</s:v>
      </s:c>
      <s:c r="E136" s="17" t="s">
        <s:v>133</s:v>
      </s:c>
      <s:c r="F136" s="17">
        <s:v>2</s:v>
      </s:c>
      <s:c r="G136" s="17">
        <s:v>150</s:v>
      </s:c>
      <s:c r="H136" s="17">
        <s:f>F136*G136</s:f>
        <s:v>300</s:v>
      </s:c>
      <s:c r="I136" s="17"/>
      <s:c r="J136" s="17"/>
      <s:c r="K136" s="17"/>
      <s:c r="L136" s="17"/>
      <s:c r="M136" s="17"/>
      <s:c r="N136" s="17"/>
      <s:c r="O136" s="17"/>
      <s:c r="P136" s="17"/>
      <s:c r="Q136"/>
      <s:c r="U136" s="1"/>
      <s:c r="V136"/>
    </s:row>
    <s:row x14ac:dyDescent="0.25" r="137" spans="1:22" ht="15.75" customHeight="1">
      <s:c r="A137" s="46"/>
      <s:c r="B137" s="46"/>
      <s:c r="C137" s="17"/>
      <s:c r="D137" s="17"/>
      <s:c r="E137" s="17"/>
      <s:c r="F137" s="17"/>
      <s:c r="G137" s="17"/>
      <s:c r="H137" s="17"/>
      <s:c r="I137" s="17" t="s">
        <s:v>136</s:v>
      </s:c>
      <s:c r="J137" s="17">
        <s:v>72000</s:v>
      </s:c>
      <s:c r="K137" s="17">
        <s:f>J137/164.3</s:f>
        <s:v>438.22276323797928</s:v>
      </s:c>
      <s:c r="L137" s="17">
        <s:v>12</s:v>
      </s:c>
      <s:c r="M137" s="17">
        <s:f>K137*L137</s:f>
        <s:v>5258.6731588557514</s:v>
      </s:c>
      <s:c r="N137" s="17">
        <s:f>M137*0.302</s:f>
        <s:v>1588.1192939744369</s:v>
      </s:c>
      <s:c r="O137" s="17">
        <s:f>(M137+N137)*2</s:f>
        <s:v>13693.584905660377</s:v>
      </s:c>
      <s:c r="P137" s="17">
        <s:f>H138+M137+N137+O137</s:f>
        <s:v>24505.377358490565</s:v>
      </s:c>
      <s:c r="Q137"/>
      <s:c r="U137" s="1"/>
      <s:c r="V137"/>
    </s:row>
    <s:row x14ac:dyDescent="0.25" r="138" spans="1:22" ht="15.75" customHeight="1">
      <s:c r="A138" s="47" t="s">
        <s:v>55</s:v>
      </s:c>
      <s:c r="B138" s="17"/>
      <s:c r="C138" s="17"/>
      <s:c r="D138" s="17"/>
      <s:c r="E138" s="17"/>
      <s:c r="F138" s="17"/>
      <s:c r="G138" s="17"/>
      <s:c r="H138" s="47">
        <s:f>SUM(H133:H136)</s:f>
        <s:v>3965</s:v>
      </s:c>
      <s:c r="I138" s="17"/>
      <s:c r="J138" s="17"/>
      <s:c r="K138" s="17"/>
      <s:c r="L138" s="17"/>
      <s:c r="M138" s="47">
        <s:f>SUM(M137:M137)</s:f>
        <s:v>5258.6731588557514</s:v>
      </s:c>
      <s:c r="N138" s="47">
        <s:f>SUM(N137:N137)</s:f>
        <s:v>1588.1192939744369</s:v>
      </s:c>
      <s:c r="O138" s="47">
        <s:f>SUM(O137:O137)</s:f>
        <s:v>13693.584905660377</s:v>
      </s:c>
      <s:c r="P138" s="47">
        <s:f>SUM(P137:P137)</s:f>
        <s:v>24505.377358490565</s:v>
      </s:c>
      <s:c r="Q138"/>
      <s:c r="U138" s="1"/>
      <s:c r="V138"/>
    </s:row>
    <s:row x14ac:dyDescent="0.25" r="139" spans="1:22" ht="15.75" customHeight="1">
      <s:c r="A139" s="32" t="s">
        <s:v>169</s:v>
      </s:c>
      <s:c r="B139" s="31" t="s">
        <s:v>170</s:v>
      </s:c>
      <s:c r="C139" s="17" t="s">
        <s:v>171</s:v>
      </s:c>
      <s:c r="D139" s="17" t="s">
        <s:v>129</s:v>
      </s:c>
      <s:c r="E139" s="17" t="s">
        <s:v>34</s:v>
      </s:c>
      <s:c r="F139" s="17">
        <s:v>2.5</s:v>
      </s:c>
      <s:c r="G139" s="17">
        <s:v>800</s:v>
      </s:c>
      <s:c r="H139" s="17">
        <s:f>F139*G139</s:f>
        <s:v>2000</s:v>
      </s:c>
      <s:c r="I139" s="17"/>
      <s:c r="J139" s="17"/>
      <s:c r="K139" s="17"/>
      <s:c r="L139" s="17"/>
      <s:c r="M139" s="17"/>
      <s:c r="N139" s="17"/>
      <s:c r="O139" s="17"/>
      <s:c r="P139" s="17"/>
      <s:c r="Q139"/>
      <s:c r="U139" s="1"/>
      <s:c r="V139"/>
    </s:row>
    <s:row x14ac:dyDescent="0.25" r="140" spans="1:22" ht="15.75" customHeight="1">
      <s:c r="A140" s="46"/>
      <s:c r="B140" s="46"/>
      <s:c r="C140" s="17" t="s">
        <s:v>172</s:v>
      </s:c>
      <s:c r="D140" s="17" t="s">
        <s:v>132</s:v>
      </s:c>
      <s:c r="E140" s="17" t="s">
        <s:v>54</s:v>
      </s:c>
      <s:c r="F140" s="17">
        <s:v>9</s:v>
      </s:c>
      <s:c r="G140" s="17">
        <s:v>300</s:v>
      </s:c>
      <s:c r="H140" s="17">
        <s:f>F140*G140</s:f>
        <s:v>2700</s:v>
      </s:c>
      <s:c r="I140" s="17"/>
      <s:c r="J140" s="17"/>
      <s:c r="K140" s="17"/>
      <s:c r="L140" s="17"/>
      <s:c r="M140" s="17"/>
      <s:c r="N140" s="17"/>
      <s:c r="O140" s="17"/>
      <s:c r="P140" s="17"/>
      <s:c r="Q140"/>
      <s:c r="U140" s="1"/>
      <s:c r="V140"/>
    </s:row>
    <s:row x14ac:dyDescent="0.25" r="141" spans="1:22" ht="15.75" customHeight="1">
      <s:c r="A141" s="46"/>
      <s:c r="B141" s="46"/>
      <s:c r="C141" s="17" t="s">
        <s:v>173</s:v>
      </s:c>
      <s:c r="D141" s="17" t="s">
        <s:v>132</s:v>
      </s:c>
      <s:c r="E141" s="17" t="s">
        <s:v>174</s:v>
      </s:c>
      <s:c r="F141" s="17">
        <s:v>9</s:v>
      </s:c>
      <s:c r="G141" s="17">
        <s:v>200</s:v>
      </s:c>
      <s:c r="H141" s="17">
        <s:f>F141*G141</s:f>
        <s:v>1800</s:v>
      </s:c>
      <s:c r="I141" s="17"/>
      <s:c r="J141" s="17"/>
      <s:c r="K141" s="17"/>
      <s:c r="L141" s="17"/>
      <s:c r="M141" s="17"/>
      <s:c r="N141" s="17"/>
      <s:c r="O141" s="17"/>
      <s:c r="P141" s="17"/>
      <s:c r="Q141"/>
      <s:c r="U141" s="1"/>
      <s:c r="V141"/>
    </s:row>
    <s:row x14ac:dyDescent="0.25" r="142" spans="1:22" ht="15.75" customHeight="1">
      <s:c r="A142" s="46"/>
      <s:c r="B142" s="46"/>
      <s:c r="C142" s="17"/>
      <s:c r="D142" s="17"/>
      <s:c r="E142" s="17"/>
      <s:c r="F142" s="17"/>
      <s:c r="G142" s="17"/>
      <s:c r="H142" s="17"/>
      <s:c r="I142" s="17" t="s">
        <s:v>175</s:v>
      </s:c>
      <s:c r="J142" s="17">
        <s:v>75000</s:v>
      </s:c>
      <s:c r="K142" s="17">
        <s:f>J142/164.3</s:f>
        <s:v>456.48204503956174</s:v>
      </s:c>
      <s:c r="L142" s="17">
        <s:v>24</s:v>
      </s:c>
      <s:c r="M142" s="17">
        <s:f>K142*L142</s:f>
        <s:v>10955.569080949481</s:v>
      </s:c>
      <s:c r="N142" s="17">
        <s:f>M142*0.302</s:f>
        <s:v>3308.5818624467429</s:v>
      </s:c>
      <s:c r="O142" s="17">
        <s:f>(M142+N142)*2</s:f>
        <s:v>28528.301886792447</s:v>
      </s:c>
      <s:c r="P142" s="17">
        <s:f>H143+M142+N142+O142</s:f>
        <s:v>49292.452830188675</s:v>
      </s:c>
      <s:c r="Q142"/>
      <s:c r="U142" s="1"/>
      <s:c r="V142"/>
    </s:row>
    <s:row x14ac:dyDescent="0.25" r="143" spans="1:22" ht="15.75" customHeight="1">
      <s:c r="A143" s="47" t="s">
        <s:v>55</s:v>
      </s:c>
      <s:c r="B143" s="17"/>
      <s:c r="C143" s="17"/>
      <s:c r="D143" s="17"/>
      <s:c r="E143" s="17"/>
      <s:c r="F143" s="17"/>
      <s:c r="G143" s="17"/>
      <s:c r="H143" s="47">
        <s:f>SUM(H139:H141)</s:f>
        <s:v>6500</s:v>
      </s:c>
      <s:c r="I143" s="17"/>
      <s:c r="J143" s="17"/>
      <s:c r="K143" s="17"/>
      <s:c r="L143" s="17"/>
      <s:c r="M143" s="47">
        <s:f>SUM(M142:M142)</s:f>
        <s:v>10955.569080949481</s:v>
      </s:c>
      <s:c r="N143" s="47">
        <s:f>SUM(N142:N142)</s:f>
        <s:v>3308.5818624467429</s:v>
      </s:c>
      <s:c r="O143" s="47">
        <s:f>SUM(O142:O142)</s:f>
        <s:v>28528.301886792447</s:v>
      </s:c>
      <s:c r="P143" s="47">
        <s:f>SUM(P142:P142)</s:f>
        <s:v>49292.452830188675</s:v>
      </s:c>
      <s:c r="Q143"/>
      <s:c r="U143" s="1"/>
      <s:c r="V143"/>
    </s:row>
    <s:row x14ac:dyDescent="0.25" r="144" spans="1:22" ht="15.75" customHeight="1">
      <s:c r="A144" s="2" t="s">
        <s:v>176</s:v>
      </s:c>
      <s:c r="B144" s="2" t="s">
        <s:v>177</s:v>
      </s:c>
      <s:c r="C144" s="2"/>
      <s:c r="D144" s="2"/>
      <s:c r="E144" s="2"/>
      <s:c r="F144" s="2"/>
      <s:c r="G144" s="2"/>
      <s:c r="H144" s="2">
        <s:f>SUM(H143,H138,H132,H126,H120,H115,H108,H102,H96)</s:f>
        <s:v>30493</s:v>
      </s:c>
      <s:c r="I144" s="8"/>
      <s:c r="J144" s="8"/>
      <s:c r="K144" s="8"/>
      <s:c r="L144" s="8"/>
      <s:c r="M144" s="8">
        <s:f>SUM(M143,M138,M132,M126,M120,M115,M108,M102,M96)</s:f>
        <s:v>44698.721850273891</s:v>
      </s:c>
      <s:c r="N144" s="8">
        <s:f>SUM(N143,N138,N132,N126,N120,N115,N108,N102,N96)</s:f>
        <s:v>13499.013998782711</s:v>
      </s:c>
      <s:c r="O144" s="8">
        <s:f>SUM(O143,O138,O132,O126,O120,O115,O108,O102,O96)</s:f>
        <s:v>116395.47169811319</s:v>
      </s:c>
      <s:c r="P144" s="8"/>
      <s:c r="Q144"/>
      <s:c r="U144" s="1"/>
      <s:c r="V144"/>
    </s:row>
    <s:row x14ac:dyDescent="0.3" r="145" spans="1:22" ht="15.75" customHeight="1">
      <s:c r="A145" s="6" t="s">
        <s:v>178</s:v>
      </s:c>
      <s:c r="B145" s="7"/>
      <s:c r="C145" s="7"/>
      <s:c r="D145" s="7"/>
      <s:c r="E145" s="7"/>
      <s:c r="F145" s="7"/>
      <s:c r="G145" s="7"/>
      <s:c r="H145" s="9">
        <s:f>SUM(H132,H138,H143,H19,H26,H41,H58,H64,H66,H68,H70,H72,H74,H76,H78,H80,H82,H90,H96,H102,H108,H115,H120,H126)</s:f>
        <s:v>1579909</s:v>
      </s:c>
      <s:c r="I145" s="10"/>
      <s:c r="J145" s="10"/>
      <s:c r="K145" s="10"/>
      <s:c r="L145" s="10"/>
      <s:c r="M145" s="9">
        <s:f>SUM(M143,M138,M132,M126,M120,M115,M108,M102,M96,M90,M64,M58,M41,M26,M19)</s:f>
        <s:v>268922.70237370662</s:v>
      </s:c>
      <s:c r="N145" s="9">
        <s:f>SUM(N143,N138,N132,N126,N120,N115,N108,N102,N96,N90,N64,N58,N41,N26,N19)</s:f>
        <s:v>81214.656116859391</s:v>
      </s:c>
      <s:c r="O145" s="9">
        <s:f>SUM(O143,O138,O132,O126,O120,O115,O108,O102,O96,O90,O64,O58,O41,O26,O19)</s:f>
        <s:v>700274.71698113205</s:v>
      </s:c>
      <s:c r="P145" s="9">
        <s:f>H145 + M145 + N145 + O145</s:f>
        <s:v>2630321.0754716983</s:v>
      </s:c>
      <s:c r="Q145"/>
      <s:c r="U145" s="1"/>
      <s:c r="V145"/>
    </s:row>
    <s:row x14ac:dyDescent="0.25" r="146" spans="1:22" ht="15.75" customHeight="1">
      <s:c r="A146" s="4"/>
      <s:c r="B146" s="4"/>
      <s:c r="C146" s="4"/>
      <s:c r="D146" s="4"/>
      <s:c r="E146" s="4"/>
      <s:c r="F146" s="4"/>
      <s:c r="G146" s="4"/>
      <s:c r="H146" s="4"/>
      <s:c r="I146" s="4"/>
      <s:c r="J146" s="4"/>
      <s:c r="K146" s="4"/>
      <s:c r="L146" s="4"/>
      <s:c r="M146" s="4"/>
      <s:c r="N146" s="4"/>
      <s:c r="O146" s="4"/>
      <s:c r="P146" s="4"/>
      <s:c r="Q146"/>
      <s:c r="U146" s="1"/>
      <s:c r="V146"/>
    </s:row>
    <s:row x14ac:dyDescent="0.25" r="147" spans="1:22" ht="15.75" customHeight="1">
      <s:c r="A147" s="5" t="s">
        <s:v>179</s:v>
      </s:c>
      <s:c r="B147" s="4"/>
      <s:c r="C147" s="4"/>
      <s:c r="D147" s="4"/>
      <s:c r="E147" s="4"/>
      <s:c r="F147" s="4"/>
      <s:c r="G147" s="4"/>
      <s:c r="H147" s="4"/>
      <s:c r="I147" s="4"/>
      <s:c r="J147" s="4"/>
      <s:c r="K147" s="4"/>
      <s:c r="L147" s="4"/>
      <s:c r="M147" s="4"/>
      <s:c r="N147" s="4"/>
      <s:c r="O147" s="4"/>
      <s:c r="P147" s="4"/>
      <s:c r="Q147"/>
      <s:c r="U147" s="1"/>
      <s:c r="V147"/>
    </s:row>
    <s:row x14ac:dyDescent="0.25" r="148" spans="1:22" ht="15.75" customHeight="1">
      <s:c r="A148" s="4"/>
      <s:c r="B148" s="4"/>
      <s:c r="C148" s="4"/>
      <s:c r="D148" s="4"/>
      <s:c r="E148" s="4"/>
      <s:c r="F148" s="4"/>
      <s:c r="G148" s="4"/>
      <s:c r="H148" s="4"/>
      <s:c r="I148" s="4"/>
      <s:c r="J148" s="4"/>
      <s:c r="K148" s="4"/>
      <s:c r="L148" s="4"/>
      <s:c r="M148" s="4"/>
      <s:c r="N148" s="4"/>
      <s:c r="O148" s="4"/>
      <s:c r="P148" s="4"/>
      <s:c r="Q148"/>
      <s:c r="U148" s="1"/>
      <s:c r="V148"/>
    </s:row>
    <s:row x14ac:dyDescent="0.25" r="149" spans="1:22" ht="15.75" customHeight="1">
      <s:c r="A149" s="4"/>
      <s:c r="B149" s="4"/>
      <s:c r="C149" s="4"/>
      <s:c r="D149" s="4"/>
      <s:c r="E149" s="4"/>
      <s:c r="F149" s="4"/>
      <s:c r="G149" s="4"/>
      <s:c r="H149" s="4"/>
      <s:c r="I149" s="4"/>
      <s:c r="J149" s="4"/>
      <s:c r="K149" s="4"/>
      <s:c r="L149" s="4"/>
      <s:c r="M149" s="4"/>
      <s:c r="N149" s="4"/>
      <s:c r="O149" s="4"/>
      <s:c r="P149" s="4"/>
      <s:c r="Q149"/>
      <s:c r="U149" s="1"/>
      <s:c r="V149"/>
    </s:row>
    <s:row x14ac:dyDescent="0.25" r="150" spans="1:22" ht="15.75" customHeight="1">
      <s:c r="A150" s="4"/>
      <s:c r="B150" s="4"/>
      <s:c r="C150" s="4"/>
      <s:c r="D150" s="4"/>
      <s:c r="E150" s="4"/>
      <s:c r="F150" s="4"/>
      <s:c r="G150" s="4"/>
      <s:c r="H150" s="4"/>
      <s:c r="I150" s="4"/>
      <s:c r="J150" s="4"/>
      <s:c r="K150" s="4"/>
      <s:c r="L150" s="4"/>
      <s:c r="M150" s="4"/>
      <s:c r="N150" s="4"/>
      <s:c r="O150" s="4"/>
      <s:c r="P150" s="4"/>
      <s:c r="Q150"/>
      <s:c r="U150" s="1"/>
      <s:c r="V150"/>
    </s:row>
    <s:row x14ac:dyDescent="0.25" r="151" spans="1:22" ht="15.75" customHeight="1">
      <s:c r="A151" s="4"/>
      <s:c r="B151" s="4"/>
      <s:c r="C151" s="4"/>
      <s:c r="D151" s="4"/>
      <s:c r="E151" s="4"/>
      <s:c r="F151" s="4"/>
      <s:c r="G151" s="4"/>
      <s:c r="H151" s="4"/>
      <s:c r="I151" s="4"/>
      <s:c r="J151" s="4"/>
      <s:c r="K151" s="4"/>
      <s:c r="L151" s="4"/>
      <s:c r="M151" s="4"/>
      <s:c r="N151" s="4"/>
      <s:c r="O151" s="4"/>
      <s:c r="P151" s="4"/>
      <s:c r="Q151"/>
      <s:c r="U151" s="1"/>
      <s:c r="V151"/>
    </s:row>
    <s:row x14ac:dyDescent="0.25" r="152" spans="1:22" ht="15.75" customHeight="1">
      <s:c r="A152" s="4"/>
      <s:c r="B152" s="43"/>
      <s:c r="C152" s="4"/>
      <s:c r="D152" s="4"/>
      <s:c r="E152" s="4"/>
      <s:c r="F152" s="4"/>
      <s:c r="G152" s="4"/>
      <s:c r="H152" s="4"/>
      <s:c r="I152" s="4"/>
      <s:c r="J152" s="4"/>
      <s:c r="K152" s="4"/>
      <s:c r="L152" s="4"/>
      <s:c r="M152" s="4"/>
      <s:c r="N152" s="4"/>
      <s:c r="O152" s="4"/>
      <s:c r="P152" s="4"/>
      <s:c r="Q152"/>
      <s:c r="U152" s="1"/>
      <s:c r="V152"/>
    </s:row>
    <s:row x14ac:dyDescent="0.25" r="153" spans="1:22" ht="15.75" customHeight="1">
      <s:c r="A153" s="4"/>
      <s:c r="B153" s="43"/>
      <s:c r="C153" s="4"/>
      <s:c r="D153" s="4"/>
      <s:c r="E153" s="4"/>
      <s:c r="F153" s="4"/>
      <s:c r="G153" s="4"/>
      <s:c r="H153" s="4"/>
      <s:c r="I153" s="4"/>
      <s:c r="J153" s="4"/>
      <s:c r="K153" s="4"/>
      <s:c r="L153" s="4"/>
      <s:c r="M153" s="4"/>
      <s:c r="N153" s="4"/>
      <s:c r="O153" s="4"/>
      <s:c r="P153" s="4"/>
      <s:c r="Q153"/>
      <s:c r="U153" s="1"/>
      <s:c r="V153"/>
    </s:row>
    <s:row x14ac:dyDescent="0.25" r="154" spans="1:22" ht="15.75" customHeight="1">
      <s:c r="A154" s="4"/>
      <s:c r="B154" s="43"/>
      <s:c r="C154" s="4"/>
      <s:c r="D154" s="4"/>
      <s:c r="E154" s="4"/>
      <s:c r="F154" s="4"/>
      <s:c r="G154" s="4"/>
      <s:c r="H154" s="4"/>
      <s:c r="I154" s="4"/>
      <s:c r="J154" s="4"/>
      <s:c r="K154" s="4"/>
      <s:c r="L154" s="4"/>
      <s:c r="M154" s="4"/>
      <s:c r="N154" s="4"/>
      <s:c r="O154" s="4"/>
      <s:c r="P154" s="4"/>
      <s:c r="Q154"/>
      <s:c r="U154" s="1"/>
      <s:c r="V154"/>
    </s:row>
    <s:row x14ac:dyDescent="0.25" r="155" spans="1:22" ht="15.75" customHeight="1">
      <s:c r="A155" s="4"/>
      <s:c r="B155" s="43"/>
      <s:c r="C155" s="4"/>
      <s:c r="D155" s="4"/>
      <s:c r="E155" s="4"/>
      <s:c r="F155" s="4"/>
      <s:c r="G155" s="4"/>
      <s:c r="H155" s="4"/>
      <s:c r="I155" s="4"/>
      <s:c r="J155" s="4"/>
      <s:c r="K155" s="4"/>
      <s:c r="L155" s="4"/>
      <s:c r="M155" s="4"/>
      <s:c r="N155" s="4"/>
      <s:c r="O155" s="4"/>
      <s:c r="P155" s="4"/>
      <s:c r="Q155"/>
      <s:c r="U155" s="1"/>
      <s:c r="V155"/>
    </s:row>
    <s:row x14ac:dyDescent="0.25" r="156" spans="1:22" ht="15.75" customHeight="1">
      <s:c r="A156" s="4"/>
      <s:c r="B156" s="43"/>
      <s:c r="C156" s="4"/>
      <s:c r="D156" s="4"/>
      <s:c r="E156" s="4"/>
      <s:c r="F156" s="4"/>
      <s:c r="G156" s="4"/>
      <s:c r="H156" s="4"/>
      <s:c r="I156" s="4"/>
      <s:c r="J156" s="4"/>
      <s:c r="K156" s="4"/>
      <s:c r="L156" s="4"/>
      <s:c r="M156" s="4"/>
      <s:c r="N156" s="4"/>
      <s:c r="O156" s="4"/>
      <s:c r="P156" s="4"/>
      <s:c r="Q156"/>
      <s:c r="U156" s="1"/>
      <s:c r="V156"/>
    </s:row>
    <s:row x14ac:dyDescent="0.25" r="157" spans="1:22" ht="15.75" customHeight="1">
      <s:c r="A157" s="4"/>
      <s:c r="B157" s="43"/>
      <s:c r="C157" s="4"/>
      <s:c r="Q157"/>
      <s:c r="U157" s="1"/>
      <s:c r="V157"/>
    </s:row>
    <s:row x14ac:dyDescent="0.25" r="158" spans="1:22" ht="15.75" customHeight="1">
      <s:c r="A158" s="4"/>
      <s:c r="B158" s="43"/>
      <s:c r="C158" s="4"/>
      <s:c r="Q158"/>
      <s:c r="U158" s="1"/>
      <s:c r="V158"/>
    </s:row>
    <s:row x14ac:dyDescent="0.25" r="159" spans="1:22" ht="15.75" customHeight="1">
      <s:c r="A159" s="4"/>
      <s:c r="B159" s="43"/>
      <s:c r="C159" s="4"/>
      <s:c r="Q159"/>
      <s:c r="U159" s="1"/>
      <s:c r="V159"/>
    </s:row>
    <s:row x14ac:dyDescent="0.25" r="160" spans="1:22" ht="15.75" customHeight="1">
      <s:c r="A160" s="4"/>
      <s:c r="B160" s="43"/>
      <s:c r="C160" s="4"/>
      <s:c r="Q160"/>
      <s:c r="U160" s="1"/>
      <s:c r="V160"/>
    </s:row>
    <s:row x14ac:dyDescent="0.25" r="161" spans="1:22" ht="15.75" customHeight="1">
      <s:c r="A161" s="4"/>
      <s:c r="B161" s="4"/>
      <s:c r="C161" s="4"/>
      <s:c r="Q161"/>
      <s:c r="U161" s="1"/>
      <s:c r="V161"/>
    </s:row>
    <s:row x14ac:dyDescent="0.25" r="162" spans="1:22" ht="15.75" customHeight="1">
      <s:c r="A162" s="4"/>
      <s:c r="B162" s="4"/>
      <s:c r="C162" s="4"/>
      <s:c r="Q162"/>
      <s:c r="U162" s="1"/>
      <s:c r="V162"/>
    </s:row>
    <s:row x14ac:dyDescent="0.25" r="163" spans="1:22" ht="15.75" customHeight="1">
      <s:c r="Q163"/>
      <s:c r="U163" s="1"/>
      <s:c r="V163"/>
    </s:row>
    <s:row x14ac:dyDescent="0.25" r="164" spans="1:22" ht="15.75" customHeight="1">
      <s:c r="Q164"/>
      <s:c r="U164" s="1"/>
      <s:c r="V164"/>
    </s:row>
    <s:row x14ac:dyDescent="0.25" r="165" spans="1:22">
      <s:c r="Q165"/>
      <s:c r="U165" s="1"/>
      <s:c r="V165"/>
    </s:row>
    <s:row x14ac:dyDescent="0.25" r="166" spans="1:22" ht="21.95" customHeight="1">
      <s:c r="Q166" s="19"/>
      <s:c r="V166" s="15">
        <s:f>SUM(H145,M145,N145,O145)</s:f>
        <s:v>2630321.0754716983</s:v>
      </s:c>
    </s:row>
    <s:row x14ac:dyDescent="0.25" r="167" spans="1:22">
      <s:c r="Q167" s="19"/>
    </s:row>
    <s:row x14ac:dyDescent="0.25" r="168" spans="1:22">
      <s:c r="Q168" s="19"/>
    </s:row>
    <s:row x14ac:dyDescent="0.25" r="169" spans="1:22">
      <s:c r="Q169" s="19"/>
    </s:row>
    <s:row x14ac:dyDescent="0.25" r="170" spans="1:22">
      <s:c r="Q170" s="19"/>
    </s:row>
    <s:row x14ac:dyDescent="0.25" r="171" spans="1:22">
      <s:c r="Q171" s="19"/>
    </s:row>
    <s:row x14ac:dyDescent="0.25" r="172" spans="1:22">
      <s:c r="Q172" s="19"/>
    </s:row>
    <s:row x14ac:dyDescent="0.25" r="173" spans="1:22">
      <s:c r="Q173" s="19"/>
    </s:row>
    <s:row x14ac:dyDescent="0.25" r="174" spans="1:22">
      <s:c r="Q174" s="19"/>
    </s:row>
    <s:row x14ac:dyDescent="0.25" r="175" spans="1:22">
      <s:c r="Q175" s="19"/>
    </s:row>
    <s:row x14ac:dyDescent="0.25" r="176" spans="1:22">
      <s:c r="Q176" s="19"/>
    </s:row>
    <s:row x14ac:dyDescent="0.25" r="177" spans="17:17">
      <s:c r="Q177" s="19"/>
    </s:row>
  </s:sheetData>
  <s:mergeCells count="56">
    <s:mergeCell ref="B3:B4"/>
    <s:mergeCell ref="B27:B40"/>
    <s:mergeCell ref="B81"/>
    <s:mergeCell ref="A67"/>
    <s:mergeCell ref="A6:A18"/>
    <s:mergeCell ref="A109:A114"/>
    <s:mergeCell ref="A121:A125"/>
    <s:mergeCell ref="B42:B57"/>
    <s:mergeCell ref="B103:B107"/>
    <s:mergeCell ref="P2:Q2"/>
    <s:mergeCell ref="B73"/>
    <s:mergeCell ref="B67"/>
    <s:mergeCell ref="B79"/>
    <s:mergeCell ref="A42:A57"/>
    <s:mergeCell ref="I3:M3"/>
    <s:mergeCell ref="P3:P4"/>
    <s:mergeCell ref="O3:O4"/>
    <s:mergeCell ref="C2:H2"/>
    <s:mergeCell ref="B69"/>
    <s:mergeCell ref="A59:A63"/>
    <s:mergeCell ref="A3:A4"/>
    <s:mergeCell ref="A27:A40"/>
    <s:mergeCell ref="B20:B25"/>
    <s:mergeCell ref="N3:N4"/>
    <s:mergeCell ref="B133:B137"/>
    <s:mergeCell ref="A91:B91"/>
    <s:mergeCell ref="B59:B63"/>
    <s:mergeCell ref="A71"/>
    <s:mergeCell ref="A65"/>
    <s:mergeCell ref="A77"/>
    <s:mergeCell ref="B65"/>
    <s:mergeCell ref="A127:A131"/>
    <s:mergeCell ref="B127:B131"/>
    <s:mergeCell ref="A81"/>
    <s:mergeCell ref="B84:B89"/>
    <s:mergeCell ref="B121:B125"/>
    <s:mergeCell ref="A116:A119"/>
    <s:mergeCell ref="A97:A101"/>
    <s:mergeCell ref="A73"/>
    <s:mergeCell ref="B109:B114"/>
    <s:mergeCell ref="B139:B142"/>
    <s:mergeCell ref="B75"/>
    <s:mergeCell ref="A139:A142"/>
    <s:mergeCell ref="B6:B18"/>
    <s:mergeCell ref="C3:H3"/>
    <s:mergeCell ref="A79"/>
    <s:mergeCell ref="A75"/>
    <s:mergeCell ref="B116:B119"/>
    <s:mergeCell ref="A69"/>
    <s:mergeCell ref="B97:B101"/>
    <s:mergeCell ref="A133:A137"/>
    <s:mergeCell ref="A103:A107"/>
    <s:mergeCell ref="B71"/>
    <s:mergeCell ref="A20:A25"/>
    <s:mergeCell ref="B77"/>
    <s:mergeCell ref="A84:A89"/>
  </s:mergeCells>
  <s:pageMargins left="0.75" right="0.75" top="1" bottom="1" header="0.5" footer="0.5"/>
  <s:pageSetup paperSize="9" orientation="portrait" r:id="rId1"/>
</s:worksheet>
</file>

<file path=xl/worksheets/sheet2.xml><?xml version="1.0" encoding="utf-8"?>
<s:worksheet xmlns:s="http://schemas.openxmlformats.org/spreadsheetml/2006/main" xmlns:mc="http://schemas.openxmlformats.org/markup-compatibility/2006" xmlns:x14ac="http://schemas.microsoft.com/office/spreadsheetml/2009/9/ac" mc:Ignorable="x14ac">
  <s:sheetPr>
    <s:tabColor theme="6" tint="-0.25"/>
  </s:sheetPr>
  <s:dimension ref="A1:AD73"/>
  <s:sheetViews>
    <s:sheetView tabSelected="0" zoomScale="85" zoomScaleNormal="85" workbookViewId="0">
      <s:selection activeCell="P2" sqref="P2:Q2"/>
    </s:sheetView>
  </s:sheetViews>
  <s:sheetFormatPr x14ac:dyDescent="0.25" defaultColWidth="10" defaultRowHeight="15"/>
  <s:cols>
    <s:col min="1" max="1" width="32.855" style="14" customWidth="1"/>
    <s:col min="2" max="2" width="27.141" style="14" customWidth="1"/>
    <s:col min="3" max="3" width="9.141" style="14" customWidth="1"/>
    <s:col min="4" max="7" width="9.285" style="14" bestFit="1" customWidth="1"/>
    <s:col min="8" max="8" width="12.711" style="14" customWidth="1"/>
    <s:col min="9" max="20" width="9.285" style="14" bestFit="1" customWidth="1"/>
    <s:col min="21" max="21" width="11.426" style="14" bestFit="1" customWidth="1"/>
    <s:col min="30" max="30" width="11.711" bestFit="1" customWidth="1"/>
  </s:cols>
  <s:sheetData>
    <s:row x14ac:dyDescent="0.25" r="1" spans="1:30">
      <s:c r="A1" s="18"/>
      <s:c r="B1" s="18"/>
      <s:c r="C1" s="18" t="s">
        <s:v>0</s:v>
      </s:c>
      <s:c r="D1" s="18"/>
      <s:c r="E1" s="18"/>
      <s:c r="F1" s="18"/>
      <s:c r="G1" s="18"/>
      <s:c r="H1" s="18"/>
      <s:c r="I1" s="33"/>
      <s:c r="J1" s="34"/>
      <s:c r="K1" s="34"/>
      <s:c r="L1" s="34"/>
      <s:c r="M1" s="34"/>
      <s:c r="N1" s="34"/>
      <s:c r="O1" s="34"/>
      <s:c r="P1" s="34"/>
      <s:c r="Q1" s="34"/>
      <s:c r="R1" s="18"/>
      <s:c r="S1" s="18"/>
      <s:c r="T1" s="18"/>
      <s:c r="U1" s="18"/>
      <s:c r="V1" s="13"/>
      <s:c r="W1" s="13"/>
      <s:c r="X1" s="13"/>
      <s:c r="Y1" s="13"/>
      <s:c r="Z1" s="13"/>
      <s:c r="AA1" s="13"/>
      <s:c r="AB1" s="18"/>
      <s:c r="AC1" s="18"/>
      <s:c r="AD1" s="18"/>
    </s:row>
    <s:row x14ac:dyDescent="0.25" r="2" spans="1:30">
      <s:c r="A2" s="18"/>
      <s:c r="B2" s="18"/>
      <s:c r="C2" s="35" t="s">
        <s:v>180</s:v>
      </s:c>
      <s:c r="D2" s="34"/>
      <s:c r="E2" s="34"/>
      <s:c r="F2" s="34"/>
      <s:c r="G2" s="34"/>
      <s:c r="H2" s="34"/>
      <s:c r="I2" s="18"/>
      <s:c r="J2" s="18"/>
      <s:c r="K2" s="18"/>
      <s:c r="L2" s="18"/>
      <s:c r="M2" s="18"/>
      <s:c r="N2" s="18"/>
      <s:c r="O2" s="18"/>
      <s:c r="P2" s="33" t="s">
        <s:v>193</s:v>
      </s:c>
      <s:c r="Q2" s="34"/>
      <s:c r="R2" s="18"/>
      <s:c r="S2" s="18"/>
      <s:c r="T2" s="18"/>
      <s:c r="U2" s="18"/>
      <s:c r="V2" s="13"/>
      <s:c r="W2" s="13"/>
      <s:c r="X2" s="13"/>
      <s:c r="Y2" s="13"/>
      <s:c r="Z2" s="13"/>
      <s:c r="AA2" s="13"/>
      <s:c r="AB2" s="18"/>
      <s:c r="AC2" s="18"/>
      <s:c r="AD2" s="18"/>
    </s:row>
    <s:row x14ac:dyDescent="0.25" r="3" spans="1:30">
      <s:c r="A3" s="18"/>
      <s:c r="B3" s="18"/>
      <s:c r="C3" s="18"/>
      <s:c r="D3" s="18"/>
      <s:c r="E3" s="18"/>
      <s:c r="F3" s="18"/>
      <s:c r="G3" s="18"/>
      <s:c r="H3" s="18"/>
      <s:c r="I3" s="18"/>
      <s:c r="J3" s="18"/>
      <s:c r="K3" s="18"/>
      <s:c r="L3" s="18"/>
      <s:c r="M3" s="18"/>
      <s:c r="N3" s="18"/>
      <s:c r="O3" s="18"/>
      <s:c r="P3" s="18"/>
      <s:c r="Q3" s="18"/>
      <s:c r="R3" s="20"/>
      <s:c r="S3" s="18"/>
      <s:c r="T3" s="18"/>
      <s:c r="U3" s="18"/>
      <s:c r="V3" s="13"/>
      <s:c r="W3" s="13"/>
      <s:c r="X3" s="13"/>
      <s:c r="Y3" s="13"/>
      <s:c r="Z3" s="13"/>
      <s:c r="AA3" s="13"/>
      <s:c r="AB3" s="20"/>
      <s:c r="AC3" s="20"/>
      <s:c r="AD3" s="20"/>
    </s:row>
    <s:row x14ac:dyDescent="0.25" r="4" spans="1:30" ht="45" customHeight="1">
      <s:c r="A4" s="21" t="s">
        <s:v>9</s:v>
      </s:c>
      <s:c r="B4" s="21" t="s">
        <s:v>10</s:v>
      </s:c>
      <s:c r="C4" s="21" t="s">
        <s:v>11</s:v>
      </s:c>
      <s:c r="D4" s="21" t="s">
        <s:v>26</s:v>
      </s:c>
      <s:c r="E4" s="21" t="s">
        <s:v>56</s:v>
      </s:c>
      <s:c r="F4" s="21" t="s">
        <s:v>70</s:v>
      </s:c>
      <s:c r="G4" s="21" t="s">
        <s:v>80</s:v>
      </s:c>
      <s:c r="H4" s="21" t="s">
        <s:v>86</s:v>
      </s:c>
      <s:c r="I4" s="21" t="s">
        <s:v>96</s:v>
      </s:c>
      <s:c r="J4" s="21" t="s">
        <s:v>99</s:v>
      </s:c>
      <s:c r="K4" s="21" t="s">
        <s:v>101</s:v>
      </s:c>
      <s:c r="L4" s="21" t="s">
        <s:v>104</s:v>
      </s:c>
      <s:c r="M4" s="21" t="s">
        <s:v>106</s:v>
      </s:c>
      <s:c r="N4" s="21" t="s">
        <s:v>108</s:v>
      </s:c>
      <s:c r="O4" s="21" t="s">
        <s:v>110</s:v>
      </s:c>
      <s:c r="P4" s="21" t="s">
        <s:v>112</s:v>
      </s:c>
      <s:c r="Q4" s="21" t="s">
        <s:v>114</s:v>
      </s:c>
      <s:c r="R4" s="21" t="s">
        <s:v>118</s:v>
      </s:c>
      <s:c r="S4" s="23" t="s">
        <s:v>127</s:v>
      </s:c>
      <s:c r="T4" s="23" t="s">
        <s:v>137</s:v>
      </s:c>
      <s:c r="U4" s="23" t="s">
        <s:v>142</s:v>
      </s:c>
      <s:c r="V4" s="23" t="s">
        <s:v>146</s:v>
      </s:c>
      <s:c r="W4" s="23" t="s">
        <s:v>152</s:v>
      </s:c>
      <s:c r="X4" s="23" t="s">
        <s:v>155</s:v>
      </s:c>
      <s:c r="Y4" s="23" t="s">
        <s:v>159</s:v>
      </s:c>
      <s:c r="Z4" s="23" t="s">
        <s:v>164</s:v>
      </s:c>
      <s:c r="AA4" s="23" t="s">
        <s:v>169</s:v>
      </s:c>
      <s:c r="AB4" s="21" t="s">
        <s:v>12</s:v>
      </s:c>
      <s:c r="AC4" s="21" t="s">
        <s:v>181</s:v>
      </s:c>
      <s:c r="AD4" s="21" t="s">
        <s:v>182</s:v>
      </s:c>
    </s:row>
    <s:row x14ac:dyDescent="0.25" r="5" spans="1:30">
      <s:c r="A5" s="24" t="s">
        <s:v>28</s:v>
      </s:c>
      <s:c r="B5" s="3" t="s">
        <s:v>29</s:v>
      </s:c>
      <s:c r="C5" s="3" t="s">
        <s:v>30</s:v>
      </s:c>
      <s:c r="D5" s="3">
        <s:v>180</s:v>
      </s:c>
      <s:c r="E5" s="3"/>
      <s:c r="F5" s="3"/>
      <s:c r="G5" s="3"/>
      <s:c r="H5" s="3"/>
      <s:c r="I5" s="3"/>
      <s:c r="J5" s="3"/>
      <s:c r="K5" s="3"/>
      <s:c r="L5" s="3"/>
      <s:c r="M5" s="3"/>
      <s:c r="N5" s="3"/>
      <s:c r="O5" s="3"/>
      <s:c r="P5" s="3"/>
      <s:c r="Q5" s="3"/>
      <s:c r="R5" s="3"/>
      <s:c r="S5" s="22"/>
      <s:c r="T5" s="22"/>
      <s:c r="U5" s="22"/>
      <s:c r="V5" s="22"/>
      <s:c r="W5" s="22"/>
      <s:c r="X5" s="22"/>
      <s:c r="Y5" s="22"/>
      <s:c r="Z5" s="22"/>
      <s:c r="AA5" s="22"/>
      <s:c r="AB5" s="3">
        <s:v>1060</s:v>
      </s:c>
      <s:c r="AC5" s="3">
        <s:v>320</s:v>
      </s:c>
      <s:c r="AD5" s="3">
        <s:f validation_="true">AB5*AC5</s:f>
        <s:v>339200</s:v>
      </s:c>
    </s:row>
    <s:row x14ac:dyDescent="0.25" r="6" spans="1:30">
      <s:c r="A6" s="24" t="s">
        <s:v>32</s:v>
      </s:c>
      <s:c r="B6" s="3" t="s">
        <s:v>33</s:v>
      </s:c>
      <s:c r="C6" s="3" t="s">
        <s:v>34</s:v>
      </s:c>
      <s:c r="D6" s="3">
        <s:v>24</s:v>
      </s:c>
      <s:c r="E6" s="3"/>
      <s:c r="F6" s="3"/>
      <s:c r="G6" s="3"/>
      <s:c r="H6" s="3"/>
      <s:c r="I6" s="3"/>
      <s:c r="J6" s="3"/>
      <s:c r="K6" s="3"/>
      <s:c r="L6" s="3"/>
      <s:c r="M6" s="3"/>
      <s:c r="N6" s="3"/>
      <s:c r="O6" s="3"/>
      <s:c r="P6" s="3"/>
      <s:c r="Q6" s="3"/>
      <s:c r="R6" s="3"/>
      <s:c r="S6" s="22"/>
      <s:c r="T6" s="22"/>
      <s:c r="U6" s="22"/>
      <s:c r="V6" s="22"/>
      <s:c r="W6" s="22"/>
      <s:c r="X6" s="22"/>
      <s:c r="Y6" s="22"/>
      <s:c r="Z6" s="22"/>
      <s:c r="AA6" s="22"/>
      <s:c r="AB6" s="3">
        <s:v>24</s:v>
      </s:c>
      <s:c r="AC6" s="3">
        <s:v>2350</s:v>
      </s:c>
      <s:c r="AD6" s="3">
        <s:f validation_="true">AB6*AC6</s:f>
        <s:v>56400</s:v>
      </s:c>
    </s:row>
    <s:row x14ac:dyDescent="0.25" r="7" spans="1:30">
      <s:c r="A7" s="24" t="s">
        <s:v>35</s:v>
      </s:c>
      <s:c r="B7" s="3" t="s">
        <s:v>36</s:v>
      </s:c>
      <s:c r="C7" s="3" t="s">
        <s:v>37</s:v>
      </s:c>
      <s:c r="D7" s="3">
        <s:v>48</s:v>
      </s:c>
      <s:c r="E7" s="3"/>
      <s:c r="F7" s="3">
        <s:v>108</s:v>
      </s:c>
      <s:c r="G7" s="3">
        <s:v>12</s:v>
      </s:c>
      <s:c r="H7" s="3"/>
      <s:c r="I7" s="3"/>
      <s:c r="J7" s="3"/>
      <s:c r="K7" s="3"/>
      <s:c r="L7" s="3"/>
      <s:c r="M7" s="3"/>
      <s:c r="N7" s="3"/>
      <s:c r="O7" s="3"/>
      <s:c r="P7" s="3"/>
      <s:c r="Q7" s="3"/>
      <s:c r="R7" s="3"/>
      <s:c r="S7" s="22"/>
      <s:c r="T7" s="22"/>
      <s:c r="U7" s="22"/>
      <s:c r="V7" s="22"/>
      <s:c r="W7" s="22"/>
      <s:c r="X7" s="22"/>
      <s:c r="Y7" s="22"/>
      <s:c r="Z7" s="22"/>
      <s:c r="AA7" s="22"/>
      <s:c r="AB7" s="3">
        <s:v>168</s:v>
      </s:c>
      <s:c r="AC7" s="3">
        <s:v>212</s:v>
      </s:c>
      <s:c r="AD7" s="3">
        <s:f validation_="true">AB7*AC7</s:f>
        <s:v>35616</s:v>
      </s:c>
    </s:row>
    <s:row x14ac:dyDescent="0.25" r="8" spans="1:30">
      <s:c r="A8" s="24" t="s">
        <s:v>39</s:v>
      </s:c>
      <s:c r="B8" s="3" t="s">
        <s:v>40</s:v>
      </s:c>
      <s:c r="C8" s="3" t="s">
        <s:v>37</s:v>
      </s:c>
      <s:c r="D8" s="3">
        <s:v>24</s:v>
      </s:c>
      <s:c r="E8" s="3"/>
      <s:c r="F8" s="3">
        <s:v>54</s:v>
      </s:c>
      <s:c r="G8" s="3">
        <s:v>6</s:v>
      </s:c>
      <s:c r="H8" s="3"/>
      <s:c r="I8" s="3"/>
      <s:c r="J8" s="3"/>
      <s:c r="K8" s="3"/>
      <s:c r="L8" s="3"/>
      <s:c r="M8" s="3"/>
      <s:c r="N8" s="3"/>
      <s:c r="O8" s="3"/>
      <s:c r="P8" s="3"/>
      <s:c r="Q8" s="3"/>
      <s:c r="R8" s="3"/>
      <s:c r="S8" s="22"/>
      <s:c r="T8" s="22"/>
      <s:c r="U8" s="22"/>
      <s:c r="V8" s="22"/>
      <s:c r="W8" s="22"/>
      <s:c r="X8" s="22"/>
      <s:c r="Y8" s="22"/>
      <s:c r="Z8" s="22"/>
      <s:c r="AA8" s="22"/>
      <s:c r="AB8" s="3">
        <s:v>84</s:v>
      </s:c>
      <s:c r="AC8" s="3">
        <s:v>120</s:v>
      </s:c>
      <s:c r="AD8" s="3">
        <s:f validation_="true">AB8*AC8</s:f>
        <s:v>10080</s:v>
      </s:c>
    </s:row>
    <s:row x14ac:dyDescent="0.25" r="9" spans="1:30">
      <s:c r="A9" s="24" t="s">
        <s:v>41</s:v>
      </s:c>
      <s:c r="B9" s="3" t="s">
        <s:v>42</s:v>
      </s:c>
      <s:c r="C9" s="3" t="s">
        <s:v>37</s:v>
      </s:c>
      <s:c r="D9" s="3">
        <s:v>1</s:v>
      </s:c>
      <s:c r="E9" s="3"/>
      <s:c r="F9" s="3">
        <s:v>3</s:v>
      </s:c>
      <s:c r="G9" s="3">
        <s:v>1</s:v>
      </s:c>
      <s:c r="H9" s="3"/>
      <s:c r="I9" s="3"/>
      <s:c r="J9" s="3"/>
      <s:c r="K9" s="3"/>
      <s:c r="L9" s="3"/>
      <s:c r="M9" s="3"/>
      <s:c r="N9" s="3"/>
      <s:c r="O9" s="3"/>
      <s:c r="P9" s="3"/>
      <s:c r="Q9" s="3"/>
      <s:c r="R9" s="3"/>
      <s:c r="S9" s="22"/>
      <s:c r="T9" s="22"/>
      <s:c r="U9" s="22"/>
      <s:c r="V9" s="22"/>
      <s:c r="W9" s="22"/>
      <s:c r="X9" s="22"/>
      <s:c r="Y9" s="22"/>
      <s:c r="Z9" s="22"/>
      <s:c r="AA9" s="22"/>
      <s:c r="AB9" s="3">
        <s:v>5</s:v>
      </s:c>
      <s:c r="AC9" s="3">
        <s:v>4500</s:v>
      </s:c>
      <s:c r="AD9" s="3">
        <s:f validation_="true">AB9*AC9</s:f>
        <s:v>22500</s:v>
      </s:c>
    </s:row>
    <s:row x14ac:dyDescent="0.25" r="10" spans="1:30">
      <s:c r="A10" s="24" t="s">
        <s:v>43</s:v>
      </s:c>
      <s:c r="B10" s="3" t="s">
        <s:v>44</s:v>
      </s:c>
      <s:c r="C10" s="3" t="s">
        <s:v>37</s:v>
      </s:c>
      <s:c r="D10" s="3">
        <s:v>1</s:v>
      </s:c>
      <s:c r="E10" s="3"/>
      <s:c r="F10" s="3">
        <s:v>2</s:v>
      </s:c>
      <s:c r="G10" s="3">
        <s:v>1</s:v>
      </s:c>
      <s:c r="H10" s="3"/>
      <s:c r="I10" s="3"/>
      <s:c r="J10" s="3"/>
      <s:c r="K10" s="3"/>
      <s:c r="L10" s="3"/>
      <s:c r="M10" s="3"/>
      <s:c r="N10" s="3"/>
      <s:c r="O10" s="3"/>
      <s:c r="P10" s="3"/>
      <s:c r="Q10" s="3"/>
      <s:c r="R10" s="3"/>
      <s:c r="S10" s="22"/>
      <s:c r="T10" s="22"/>
      <s:c r="U10" s="22"/>
      <s:c r="V10" s="22"/>
      <s:c r="W10" s="22"/>
      <s:c r="X10" s="22"/>
      <s:c r="Y10" s="22"/>
      <s:c r="Z10" s="22"/>
      <s:c r="AA10" s="22"/>
      <s:c r="AB10" s="3">
        <s:v>4</s:v>
      </s:c>
      <s:c r="AC10" s="3">
        <s:v>8000</s:v>
      </s:c>
      <s:c r="AD10" s="3">
        <s:f validation_="true">AB10*AC10</s:f>
        <s:v>32000</s:v>
      </s:c>
    </s:row>
    <s:row x14ac:dyDescent="0.25" r="11" spans="1:30">
      <s:c r="A11" s="24" t="s">
        <s:v>45</s:v>
      </s:c>
      <s:c r="B11" s="3" t="s">
        <s:v>46</s:v>
      </s:c>
      <s:c r="C11" s="3" t="s">
        <s:v>37</s:v>
      </s:c>
      <s:c r="D11" s="3">
        <s:v>1</s:v>
      </s:c>
      <s:c r="E11" s="3"/>
      <s:c r="F11" s="3"/>
      <s:c r="G11" s="3">
        <s:v>1</s:v>
      </s:c>
      <s:c r="H11" s="3"/>
      <s:c r="I11" s="3"/>
      <s:c r="J11" s="3"/>
      <s:c r="K11" s="3"/>
      <s:c r="L11" s="3"/>
      <s:c r="M11" s="3"/>
      <s:c r="N11" s="3"/>
      <s:c r="O11" s="3"/>
      <s:c r="P11" s="3"/>
      <s:c r="Q11" s="3"/>
      <s:c r="R11" s="3"/>
      <s:c r="S11" s="22"/>
      <s:c r="T11" s="22"/>
      <s:c r="U11" s="22"/>
      <s:c r="V11" s="22"/>
      <s:c r="W11" s="22"/>
      <s:c r="X11" s="22"/>
      <s:c r="Y11" s="22"/>
      <s:c r="Z11" s="22"/>
      <s:c r="AA11" s="22"/>
      <s:c r="AB11" s="3">
        <s:v>2</s:v>
      </s:c>
      <s:c r="AC11" s="3">
        <s:v>5000</s:v>
      </s:c>
      <s:c r="AD11" s="3">
        <s:f validation_="true">AB11*AC11</s:f>
        <s:v>10000</s:v>
      </s:c>
    </s:row>
    <s:row x14ac:dyDescent="0.25" r="12" spans="1:30">
      <s:c r="A12" s="24" t="s">
        <s:v>47</s:v>
      </s:c>
      <s:c r="B12" s="3" t="s">
        <s:v>48</s:v>
      </s:c>
      <s:c r="C12" s="3" t="s">
        <s:v>49</s:v>
      </s:c>
      <s:c r="D12" s="3">
        <s:v>25</s:v>
      </s:c>
      <s:c r="E12" s="3"/>
      <s:c r="F12" s="3">
        <s:v>60</s:v>
      </s:c>
      <s:c r="G12" s="3">
        <s:v>15</s:v>
      </s:c>
      <s:c r="H12" s="3"/>
      <s:c r="I12" s="3"/>
      <s:c r="J12" s="3"/>
      <s:c r="K12" s="3"/>
      <s:c r="L12" s="3"/>
      <s:c r="M12" s="3"/>
      <s:c r="N12" s="3"/>
      <s:c r="O12" s="3"/>
      <s:c r="P12" s="3"/>
      <s:c r="Q12" s="3"/>
      <s:c r="R12" s="3"/>
      <s:c r="S12" s="22"/>
      <s:c r="T12" s="22"/>
      <s:c r="U12" s="22"/>
      <s:c r="V12" s="22"/>
      <s:c r="W12" s="22"/>
      <s:c r="X12" s="22"/>
      <s:c r="Y12" s="22"/>
      <s:c r="Z12" s="22"/>
      <s:c r="AA12" s="22"/>
      <s:c r="AB12" s="3">
        <s:v>100</s:v>
      </s:c>
      <s:c r="AC12" s="3">
        <s:v>450</s:v>
      </s:c>
      <s:c r="AD12" s="3">
        <s:f validation_="true">AB12*AC12</s:f>
        <s:v>45000</s:v>
      </s:c>
    </s:row>
    <s:row x14ac:dyDescent="0.25" r="13" spans="1:30">
      <s:c r="A13" s="24" t="s">
        <s:v>50</s:v>
      </s:c>
      <s:c r="B13" s="3" t="s">
        <s:v>51</s:v>
      </s:c>
      <s:c r="C13" s="3" t="s">
        <s:v>49</s:v>
      </s:c>
      <s:c r="D13" s="3">
        <s:v>40</s:v>
      </s:c>
      <s:c r="E13" s="3"/>
      <s:c r="F13" s="3"/>
      <s:c r="G13" s="3">
        <s:v>20</s:v>
      </s:c>
      <s:c r="H13" s="3"/>
      <s:c r="I13" s="3"/>
      <s:c r="J13" s="3"/>
      <s:c r="K13" s="3"/>
      <s:c r="L13" s="3"/>
      <s:c r="M13" s="3"/>
      <s:c r="N13" s="3"/>
      <s:c r="O13" s="3"/>
      <s:c r="P13" s="3"/>
      <s:c r="Q13" s="3"/>
      <s:c r="R13" s="3"/>
      <s:c r="S13" s="22"/>
      <s:c r="T13" s="22"/>
      <s:c r="U13" s="22"/>
      <s:c r="V13" s="22"/>
      <s:c r="W13" s="22"/>
      <s:c r="X13" s="22"/>
      <s:c r="Y13" s="22"/>
      <s:c r="Z13" s="22"/>
      <s:c r="AA13" s="22"/>
      <s:c r="AB13" s="3">
        <s:v>60</s:v>
      </s:c>
      <s:c r="AC13" s="3">
        <s:v>380</s:v>
      </s:c>
      <s:c r="AD13" s="3">
        <s:f validation_="true">AB13*AC13</s:f>
        <s:v>22800</s:v>
      </s:c>
    </s:row>
    <s:row x14ac:dyDescent="0.25" r="14" spans="1:30">
      <s:c r="A14" s="24" t="s">
        <s:v>52</s:v>
      </s:c>
      <s:c r="B14" s="3" t="s">
        <s:v>53</s:v>
      </s:c>
      <s:c r="C14" s="3" t="s">
        <s:v>54</s:v>
      </s:c>
      <s:c r="D14" s="3">
        <s:v>4</s:v>
      </s:c>
      <s:c r="E14" s="3"/>
      <s:c r="F14" s="3">
        <s:v>8</s:v>
      </s:c>
      <s:c r="G14" s="3">
        <s:v>2</s:v>
      </s:c>
      <s:c r="H14" s="3"/>
      <s:c r="I14" s="3"/>
      <s:c r="J14" s="3"/>
      <s:c r="K14" s="3"/>
      <s:c r="L14" s="3"/>
      <s:c r="M14" s="3"/>
      <s:c r="N14" s="3"/>
      <s:c r="O14" s="3"/>
      <s:c r="P14" s="3"/>
      <s:c r="Q14" s="3"/>
      <s:c r="R14" s="3"/>
      <s:c r="S14" s="22"/>
      <s:c r="T14" s="22"/>
      <s:c r="U14" s="22"/>
      <s:c r="V14" s="22"/>
      <s:c r="W14" s="22"/>
      <s:c r="X14" s="22"/>
      <s:c r="Y14" s="22"/>
      <s:c r="Z14" s="22"/>
      <s:c r="AA14" s="22"/>
      <s:c r="AB14" s="3">
        <s:v>14</s:v>
      </s:c>
      <s:c r="AC14" s="3">
        <s:v>850</s:v>
      </s:c>
      <s:c r="AD14" s="3">
        <s:f validation_="true">AB14*AC14</s:f>
        <s:v>11900</s:v>
      </s:c>
    </s:row>
    <s:row x14ac:dyDescent="0.25" r="15" spans="1:30">
      <s:c r="A15" s="24" t="s">
        <s:v>60</s:v>
      </s:c>
      <s:c r="B15" s="3" t="s">
        <s:v>61</s:v>
      </s:c>
      <s:c r="C15" s="3" t="s">
        <s:v>34</s:v>
      </s:c>
      <s:c r="D15" s="3"/>
      <s:c r="E15" s="3">
        <s:v>215</s:v>
      </s:c>
      <s:c r="F15" s="3"/>
      <s:c r="G15" s="3"/>
      <s:c r="H15" s="3"/>
      <s:c r="I15" s="3"/>
      <s:c r="J15" s="3"/>
      <s:c r="K15" s="3"/>
      <s:c r="L15" s="3"/>
      <s:c r="M15" s="3"/>
      <s:c r="N15" s="3"/>
      <s:c r="O15" s="3"/>
      <s:c r="P15" s="3"/>
      <s:c r="Q15" s="3"/>
      <s:c r="R15" s="3"/>
      <s:c r="S15" s="22"/>
      <s:c r="T15" s="22"/>
      <s:c r="U15" s="22"/>
      <s:c r="V15" s="22"/>
      <s:c r="W15" s="22"/>
      <s:c r="X15" s="22"/>
      <s:c r="Y15" s="22"/>
      <s:c r="Z15" s="22"/>
      <s:c r="AA15" s="22"/>
      <s:c r="AB15" s="3">
        <s:v>215</s:v>
      </s:c>
      <s:c r="AC15" s="3">
        <s:v>370</s:v>
      </s:c>
      <s:c r="AD15" s="3">
        <s:f validation_="true">AB15*AC15</s:f>
        <s:v>79550</s:v>
      </s:c>
    </s:row>
    <s:row x14ac:dyDescent="0.25" r="16" spans="1:30">
      <s:c r="A16" s="24" t="s">
        <s:v>63</s:v>
      </s:c>
      <s:c r="B16" s="3" t="s">
        <s:v>64</s:v>
      </s:c>
      <s:c r="C16" s="3" t="s">
        <s:v>65</s:v>
      </s:c>
      <s:c r="D16" s="3"/>
      <s:c r="E16" s="3">
        <s:v>95</s:v>
      </s:c>
      <s:c r="F16" s="3"/>
      <s:c r="G16" s="3"/>
      <s:c r="H16" s="3"/>
      <s:c r="I16" s="3"/>
      <s:c r="J16" s="3"/>
      <s:c r="K16" s="3"/>
      <s:c r="L16" s="3"/>
      <s:c r="M16" s="3"/>
      <s:c r="N16" s="3"/>
      <s:c r="O16" s="3"/>
      <s:c r="P16" s="3"/>
      <s:c r="Q16" s="3"/>
      <s:c r="R16" s="3"/>
      <s:c r="S16" s="22"/>
      <s:c r="T16" s="22"/>
      <s:c r="U16" s="22"/>
      <s:c r="V16" s="22"/>
      <s:c r="W16" s="22"/>
      <s:c r="X16" s="22"/>
      <s:c r="Y16" s="22"/>
      <s:c r="Z16" s="22"/>
      <s:c r="AA16" s="22"/>
      <s:c r="AB16" s="3">
        <s:v>95</s:v>
      </s:c>
      <s:c r="AC16" s="3">
        <s:v>350</s:v>
      </s:c>
      <s:c r="AD16" s="3">
        <s:f validation_="true">AB16*AC16</s:f>
        <s:v>33250</s:v>
      </s:c>
    </s:row>
    <s:row x14ac:dyDescent="0.25" r="17" spans="1:30">
      <s:c r="A17" s="24" t="s">
        <s:v>67</s:v>
      </s:c>
      <s:c r="B17" s="3" t="s">
        <s:v>68</s:v>
      </s:c>
      <s:c r="C17" s="3" t="s">
        <s:v>69</s:v>
      </s:c>
      <s:c r="D17" s="3"/>
      <s:c r="E17" s="3">
        <s:v>3</s:v>
      </s:c>
      <s:c r="F17" s="3"/>
      <s:c r="G17" s="3"/>
      <s:c r="H17" s="3"/>
      <s:c r="I17" s="3"/>
      <s:c r="J17" s="3"/>
      <s:c r="K17" s="3"/>
      <s:c r="L17" s="3"/>
      <s:c r="M17" s="3"/>
      <s:c r="N17" s="3"/>
      <s:c r="O17" s="3"/>
      <s:c r="P17" s="3"/>
      <s:c r="Q17" s="3"/>
      <s:c r="R17" s="3"/>
      <s:c r="S17" s="22"/>
      <s:c r="T17" s="22"/>
      <s:c r="U17" s="22"/>
      <s:c r="V17" s="22"/>
      <s:c r="W17" s="22"/>
      <s:c r="X17" s="22"/>
      <s:c r="Y17" s="22"/>
      <s:c r="Z17" s="22"/>
      <s:c r="AA17" s="22"/>
      <s:c r="AB17" s="3">
        <s:v>3</s:v>
      </s:c>
      <s:c r="AC17" s="3">
        <s:v>4200</s:v>
      </s:c>
      <s:c r="AD17" s="3">
        <s:f validation_="true">AB17*AC17</s:f>
        <s:v>12600</s:v>
      </s:c>
    </s:row>
    <s:row x14ac:dyDescent="0.25" r="18" spans="1:30">
      <s:c r="A18" s="24" t="s">
        <s:v>72</s:v>
      </s:c>
      <s:c r="B18" s="3" t="s">
        <s:v>73</s:v>
      </s:c>
      <s:c r="C18" s="3" t="s">
        <s:v>34</s:v>
      </s:c>
      <s:c r="D18" s="3"/>
      <s:c r="E18" s="3"/>
      <s:c r="F18" s="3">
        <s:v>52</s:v>
      </s:c>
      <s:c r="G18" s="3">
        <s:v>6</s:v>
      </s:c>
      <s:c r="H18" s="3"/>
      <s:c r="I18" s="3"/>
      <s:c r="J18" s="3"/>
      <s:c r="K18" s="3"/>
      <s:c r="L18" s="3"/>
      <s:c r="M18" s="3"/>
      <s:c r="N18" s="3"/>
      <s:c r="O18" s="3"/>
      <s:c r="P18" s="3"/>
      <s:c r="Q18" s="3"/>
      <s:c r="R18" s="3"/>
      <s:c r="S18" s="22"/>
      <s:c r="T18" s="22"/>
      <s:c r="U18" s="22"/>
      <s:c r="V18" s="22"/>
      <s:c r="W18" s="22"/>
      <s:c r="X18" s="22"/>
      <s:c r="Y18" s="22"/>
      <s:c r="Z18" s="22"/>
      <s:c r="AA18" s="22"/>
      <s:c r="AB18" s="3">
        <s:v>58</s:v>
      </s:c>
      <s:c r="AC18" s="3">
        <s:v>820</s:v>
      </s:c>
      <s:c r="AD18" s="3">
        <s:f validation_="true">AB18*AC18</s:f>
        <s:v>47560</s:v>
      </s:c>
    </s:row>
    <s:row x14ac:dyDescent="0.25" r="19" spans="1:30">
      <s:c r="A19" s="24" t="s">
        <s:v>74</s:v>
      </s:c>
      <s:c r="B19" s="3" t="s">
        <s:v>75</s:v>
      </s:c>
      <s:c r="C19" s="3" t="s">
        <s:v>37</s:v>
      </s:c>
      <s:c r="D19" s="3"/>
      <s:c r="E19" s="3"/>
      <s:c r="F19" s="3">
        <s:v>3</s:v>
      </s:c>
      <s:c r="G19" s="3"/>
      <s:c r="H19" s="3"/>
      <s:c r="I19" s="3"/>
      <s:c r="J19" s="3"/>
      <s:c r="K19" s="3"/>
      <s:c r="L19" s="3"/>
      <s:c r="M19" s="3"/>
      <s:c r="N19" s="3"/>
      <s:c r="O19" s="3"/>
      <s:c r="P19" s="3"/>
      <s:c r="Q19" s="3"/>
      <s:c r="R19" s="3"/>
      <s:c r="S19" s="22"/>
      <s:c r="T19" s="22"/>
      <s:c r="U19" s="22"/>
      <s:c r="V19" s="22"/>
      <s:c r="W19" s="22"/>
      <s:c r="X19" s="22"/>
      <s:c r="Y19" s="22"/>
      <s:c r="Z19" s="22"/>
      <s:c r="AA19" s="22"/>
      <s:c r="AB19" s="3">
        <s:v>3</s:v>
      </s:c>
      <s:c r="AC19" s="3">
        <s:v>9000</s:v>
      </s:c>
      <s:c r="AD19" s="3">
        <s:f validation_="true">AB19*AC19</s:f>
        <s:v>27000</s:v>
      </s:c>
    </s:row>
    <s:row x14ac:dyDescent="0.25" r="20" spans="1:30">
      <s:c r="A20" s="24" t="s">
        <s:v>76</s:v>
      </s:c>
      <s:c r="B20" s="3" t="s">
        <s:v>77</s:v>
      </s:c>
      <s:c r="C20" s="3" t="s">
        <s:v>49</s:v>
      </s:c>
      <s:c r="D20" s="3"/>
      <s:c r="E20" s="3"/>
      <s:c r="F20" s="3">
        <s:v>80</s:v>
      </s:c>
      <s:c r="G20" s="3"/>
      <s:c r="H20" s="3"/>
      <s:c r="I20" s="3"/>
      <s:c r="J20" s="3"/>
      <s:c r="K20" s="3"/>
      <s:c r="L20" s="3"/>
      <s:c r="M20" s="3"/>
      <s:c r="N20" s="3"/>
      <s:c r="O20" s="3"/>
      <s:c r="P20" s="3"/>
      <s:c r="Q20" s="3"/>
      <s:c r="R20" s="3"/>
      <s:c r="S20" s="22"/>
      <s:c r="T20" s="22"/>
      <s:c r="U20" s="22"/>
      <s:c r="V20" s="22"/>
      <s:c r="W20" s="22"/>
      <s:c r="X20" s="22"/>
      <s:c r="Y20" s="22"/>
      <s:c r="Z20" s="22"/>
      <s:c r="AA20" s="22"/>
      <s:c r="AB20" s="3">
        <s:v>80</s:v>
      </s:c>
      <s:c r="AC20" s="3">
        <s:v>580</s:v>
      </s:c>
      <s:c r="AD20" s="3">
        <s:f validation_="true">AB20*AC20</s:f>
        <s:v>46400</s:v>
      </s:c>
    </s:row>
    <s:row x14ac:dyDescent="0.25" r="21" spans="1:30">
      <s:c r="A21" s="24" t="s">
        <s:v>78</s:v>
      </s:c>
      <s:c r="B21" s="3" t="s">
        <s:v>79</s:v>
      </s:c>
      <s:c r="C21" s="3" t="s">
        <s:v>34</s:v>
      </s:c>
      <s:c r="D21" s="3"/>
      <s:c r="E21" s="3"/>
      <s:c r="F21" s="3">
        <s:v>55</s:v>
      </s:c>
      <s:c r="G21" s="3">
        <s:v>7</s:v>
      </s:c>
      <s:c r="H21" s="3"/>
      <s:c r="I21" s="3"/>
      <s:c r="J21" s="3"/>
      <s:c r="K21" s="3"/>
      <s:c r="L21" s="3"/>
      <s:c r="M21" s="3"/>
      <s:c r="N21" s="3"/>
      <s:c r="O21" s="3"/>
      <s:c r="P21" s="3"/>
      <s:c r="Q21" s="3"/>
      <s:c r="R21" s="3"/>
      <s:c r="S21" s="22"/>
      <s:c r="T21" s="22"/>
      <s:c r="U21" s="22"/>
      <s:c r="V21" s="22"/>
      <s:c r="W21" s="22"/>
      <s:c r="X21" s="22"/>
      <s:c r="Y21" s="22"/>
      <s:c r="Z21" s="22"/>
      <s:c r="AA21" s="22"/>
      <s:c r="AB21" s="3">
        <s:v>62</s:v>
      </s:c>
      <s:c r="AC21" s="3">
        <s:v>380</s:v>
      </s:c>
      <s:c r="AD21" s="3">
        <s:f validation_="true">AB21*AC21</s:f>
        <s:v>23560</s:v>
      </s:c>
    </s:row>
    <s:row x14ac:dyDescent="0.25" r="22" spans="1:30">
      <s:c r="A22" s="24" t="s">
        <s:v>82</s:v>
      </s:c>
      <s:c r="B22" s="3" t="s">
        <s:v>83</s:v>
      </s:c>
      <s:c r="C22" s="3" t="s">
        <s:v>49</s:v>
      </s:c>
      <s:c r="D22" s="3"/>
      <s:c r="E22" s="3"/>
      <s:c r="F22" s="3"/>
      <s:c r="G22" s="3">
        <s:v>8</s:v>
      </s:c>
      <s:c r="H22" s="3"/>
      <s:c r="I22" s="3"/>
      <s:c r="J22" s="3"/>
      <s:c r="K22" s="3"/>
      <s:c r="L22" s="3"/>
      <s:c r="M22" s="3"/>
      <s:c r="N22" s="3"/>
      <s:c r="O22" s="3"/>
      <s:c r="P22" s="3"/>
      <s:c r="Q22" s="3"/>
      <s:c r="R22" s="3"/>
      <s:c r="S22" s="22"/>
      <s:c r="T22" s="22"/>
      <s:c r="U22" s="22"/>
      <s:c r="V22" s="22"/>
      <s:c r="W22" s="22"/>
      <s:c r="X22" s="22"/>
      <s:c r="Y22" s="22"/>
      <s:c r="Z22" s="22"/>
      <s:c r="AA22" s="22"/>
      <s:c r="AB22" s="3">
        <s:v>8</s:v>
      </s:c>
      <s:c r="AC22" s="3">
        <s:v>450</s:v>
      </s:c>
      <s:c r="AD22" s="3">
        <s:f validation_="true">AB22*AC22</s:f>
        <s:v>3600</s:v>
      </s:c>
    </s:row>
    <s:row x14ac:dyDescent="0.25" r="23" spans="1:30">
      <s:c r="A23" s="24" t="s">
        <s:v>84</s:v>
      </s:c>
      <s:c r="B23" s="3" t="s">
        <s:v>85</s:v>
      </s:c>
      <s:c r="C23" s="3" t="s">
        <s:v>37</s:v>
      </s:c>
      <s:c r="D23" s="3"/>
      <s:c r="E23" s="3"/>
      <s:c r="F23" s="3"/>
      <s:c r="G23" s="3">
        <s:v>4</s:v>
      </s:c>
      <s:c r="H23" s="3"/>
      <s:c r="I23" s="3"/>
      <s:c r="J23" s="3"/>
      <s:c r="K23" s="3"/>
      <s:c r="L23" s="3"/>
      <s:c r="M23" s="3"/>
      <s:c r="N23" s="3"/>
      <s:c r="O23" s="3"/>
      <s:c r="P23" s="3"/>
      <s:c r="Q23" s="3"/>
      <s:c r="R23" s="3"/>
      <s:c r="S23" s="22"/>
      <s:c r="T23" s="22"/>
      <s:c r="U23" s="22"/>
      <s:c r="V23" s="22"/>
      <s:c r="W23" s="22"/>
      <s:c r="X23" s="22"/>
      <s:c r="Y23" s="22"/>
      <s:c r="Z23" s="22"/>
      <s:c r="AA23" s="22"/>
      <s:c r="AB23" s="3">
        <s:v>4</s:v>
      </s:c>
      <s:c r="AC23" s="3">
        <s:v>380</s:v>
      </s:c>
      <s:c r="AD23" s="3">
        <s:f validation_="true">AB23*AC23</s:f>
        <s:v>1520</s:v>
      </s:c>
    </s:row>
    <s:row x14ac:dyDescent="0.25" r="24" spans="1:30">
      <s:c r="A24" s="24" t="s">
        <s:v>88</s:v>
      </s:c>
      <s:c r="B24" s="3" t="s">
        <s:v>89</s:v>
      </s:c>
      <s:c r="C24" s="3" t="s">
        <s:v>30</s:v>
      </s:c>
      <s:c r="D24" s="3"/>
      <s:c r="E24" s="3"/>
      <s:c r="F24" s="3"/>
      <s:c r="G24" s="3"/>
      <s:c r="H24" s="3">
        <s:v>510</s:v>
      </s:c>
      <s:c r="I24" s="3"/>
      <s:c r="J24" s="3"/>
      <s:c r="K24" s="3"/>
      <s:c r="L24" s="3"/>
      <s:c r="M24" s="3"/>
      <s:c r="N24" s="3"/>
      <s:c r="O24" s="3"/>
      <s:c r="P24" s="3"/>
      <s:c r="Q24" s="3"/>
      <s:c r="R24" s="3"/>
      <s:c r="S24" s="22"/>
      <s:c r="T24" s="22"/>
      <s:c r="U24" s="22"/>
      <s:c r="V24" s="22"/>
      <s:c r="W24" s="22"/>
      <s:c r="X24" s="22"/>
      <s:c r="Y24" s="22"/>
      <s:c r="Z24" s="22"/>
      <s:c r="AA24" s="22"/>
      <s:c r="AB24" s="3">
        <s:v>510</s:v>
      </s:c>
      <s:c r="AC24" s="3">
        <s:v>650</s:v>
      </s:c>
      <s:c r="AD24" s="3">
        <s:f validation_="true">AB24*AC24</s:f>
        <s:v>331500</s:v>
      </s:c>
    </s:row>
    <s:row x14ac:dyDescent="0.25" r="25" spans="1:30">
      <s:c r="A25" s="24" t="s">
        <s:v>91</s:v>
      </s:c>
      <s:c r="B25" s="3" t="s">
        <s:v>85</s:v>
      </s:c>
      <s:c r="C25" s="3" t="s">
        <s:v>37</s:v>
      </s:c>
      <s:c r="D25" s="3"/>
      <s:c r="E25" s="3"/>
      <s:c r="F25" s="3"/>
      <s:c r="G25" s="3"/>
      <s:c r="H25" s="3">
        <s:v>56</s:v>
      </s:c>
      <s:c r="I25" s="3"/>
      <s:c r="J25" s="3"/>
      <s:c r="K25" s="3"/>
      <s:c r="L25" s="3"/>
      <s:c r="M25" s="3"/>
      <s:c r="N25" s="3"/>
      <s:c r="O25" s="3"/>
      <s:c r="P25" s="3"/>
      <s:c r="Q25" s="3"/>
      <s:c r="R25" s="3"/>
      <s:c r="S25" s="22"/>
      <s:c r="T25" s="22"/>
      <s:c r="U25" s="22"/>
      <s:c r="V25" s="22"/>
      <s:c r="W25" s="22"/>
      <s:c r="X25" s="22"/>
      <s:c r="Y25" s="22"/>
      <s:c r="Z25" s="22"/>
      <s:c r="AA25" s="22"/>
      <s:c r="AB25" s="3">
        <s:v>56</s:v>
      </s:c>
      <s:c r="AC25" s="3">
        <s:v>1250</s:v>
      </s:c>
      <s:c r="AD25" s="3">
        <s:f validation_="true">AB25*AC25</s:f>
        <s:v>70000</s:v>
      </s:c>
    </s:row>
    <s:row x14ac:dyDescent="0.25" r="26" spans="1:30">
      <s:c r="A26" s="24" t="s">
        <s:v>92</s:v>
      </s:c>
      <s:c r="B26" s="3" t="s">
        <s:v>93</s:v>
      </s:c>
      <s:c r="C26" s="3" t="s">
        <s:v>34</s:v>
      </s:c>
      <s:c r="D26" s="3"/>
      <s:c r="E26" s="3"/>
      <s:c r="F26" s="3"/>
      <s:c r="G26" s="3"/>
      <s:c r="H26" s="3">
        <s:v>85</s:v>
      </s:c>
      <s:c r="I26" s="3"/>
      <s:c r="J26" s="3"/>
      <s:c r="K26" s="3"/>
      <s:c r="L26" s="3"/>
      <s:c r="M26" s="3"/>
      <s:c r="N26" s="3"/>
      <s:c r="O26" s="3"/>
      <s:c r="P26" s="3"/>
      <s:c r="Q26" s="3"/>
      <s:c r="R26" s="3"/>
      <s:c r="S26" s="22"/>
      <s:c r="T26" s="22"/>
      <s:c r="U26" s="22"/>
      <s:c r="V26" s="22"/>
      <s:c r="W26" s="22"/>
      <s:c r="X26" s="22"/>
      <s:c r="Y26" s="22"/>
      <s:c r="Z26" s="22"/>
      <s:c r="AA26" s="22"/>
      <s:c r="AB26" s="3">
        <s:v>85</s:v>
      </s:c>
      <s:c r="AC26" s="3">
        <s:v>180</s:v>
      </s:c>
      <s:c r="AD26" s="3">
        <s:f validation_="true">AB26*AC26</s:f>
        <s:v>15300</s:v>
      </s:c>
    </s:row>
    <s:row x14ac:dyDescent="0.25" r="27" spans="1:30">
      <s:c r="A27" s="24" t="s">
        <s:v>94</s:v>
      </s:c>
      <s:c r="B27" s="3" t="s">
        <s:v>95</s:v>
      </s:c>
      <s:c r="C27" s="3" t="s">
        <s:v>69</s:v>
      </s:c>
      <s:c r="D27" s="3"/>
      <s:c r="E27" s="3"/>
      <s:c r="F27" s="3"/>
      <s:c r="G27" s="3"/>
      <s:c r="H27" s="3">
        <s:v>3</s:v>
      </s:c>
      <s:c r="I27" s="3"/>
      <s:c r="J27" s="3"/>
      <s:c r="K27" s="3"/>
      <s:c r="L27" s="3"/>
      <s:c r="M27" s="3"/>
      <s:c r="N27" s="3"/>
      <s:c r="O27" s="3"/>
      <s:c r="P27" s="3"/>
      <s:c r="Q27" s="3"/>
      <s:c r="R27" s="3"/>
      <s:c r="S27" s="22"/>
      <s:c r="T27" s="22"/>
      <s:c r="U27" s="22"/>
      <s:c r="V27" s="22"/>
      <s:c r="W27" s="22"/>
      <s:c r="X27" s="22"/>
      <s:c r="Y27" s="22"/>
      <s:c r="Z27" s="22"/>
      <s:c r="AA27" s="22"/>
      <s:c r="AB27" s="3">
        <s:v>3</s:v>
      </s:c>
      <s:c r="AC27" s="3">
        <s:v>6000</s:v>
      </s:c>
      <s:c r="AD27" s="3">
        <s:f validation_="true">AB27*AC27</s:f>
        <s:v>18000</s:v>
      </s:c>
    </s:row>
    <s:row x14ac:dyDescent="0.25" r="28" spans="1:30">
      <s:c r="A28" s="24" t="s">
        <s:v>120</s:v>
      </s:c>
      <s:c r="B28" s="3" t="s">
        <s:v>121</s:v>
      </s:c>
      <s:c r="C28" s="3" t="s">
        <s:v>122</s:v>
      </s:c>
      <s:c r="D28" s="3"/>
      <s:c r="E28" s="3"/>
      <s:c r="F28" s="3"/>
      <s:c r="G28" s="3"/>
      <s:c r="H28" s="3"/>
      <s:c r="I28" s="3"/>
      <s:c r="J28" s="3"/>
      <s:c r="K28" s="3"/>
      <s:c r="L28" s="3"/>
      <s:c r="M28" s="3"/>
      <s:c r="N28" s="3"/>
      <s:c r="O28" s="3"/>
      <s:c r="P28" s="3"/>
      <s:c r="Q28" s="3"/>
      <s:c r="R28" s="3">
        <s:v>80</s:v>
      </s:c>
      <s:c r="S28" s="22"/>
      <s:c r="T28" s="22"/>
      <s:c r="U28" s="22"/>
      <s:c r="V28" s="22"/>
      <s:c r="W28" s="22"/>
      <s:c r="X28" s="22"/>
      <s:c r="Y28" s="22"/>
      <s:c r="Z28" s="22"/>
      <s:c r="AA28" s="22"/>
      <s:c r="AB28" s="3">
        <s:v>80</s:v>
      </s:c>
      <s:c r="AC28" s="3">
        <s:v>1750</s:v>
      </s:c>
      <s:c r="AD28" s="3">
        <s:f validation_="true">AB28*AC28</s:f>
        <s:v>140000</s:v>
      </s:c>
    </s:row>
    <s:row x14ac:dyDescent="0.25" r="29" spans="1:30">
      <s:c r="A29" s="24" t="s">
        <s:v>123</s:v>
      </s:c>
      <s:c r="B29" s="3" t="s">
        <s:v>124</s:v>
      </s:c>
      <s:c r="C29" s="3" t="s">
        <s:v>122</s:v>
      </s:c>
      <s:c r="D29" s="3"/>
      <s:c r="E29" s="3"/>
      <s:c r="F29" s="3"/>
      <s:c r="G29" s="3"/>
      <s:c r="H29" s="3"/>
      <s:c r="I29" s="3"/>
      <s:c r="J29" s="3"/>
      <s:c r="K29" s="3"/>
      <s:c r="L29" s="3"/>
      <s:c r="M29" s="3"/>
      <s:c r="N29" s="3"/>
      <s:c r="O29" s="3"/>
      <s:c r="P29" s="3"/>
      <s:c r="Q29" s="3"/>
      <s:c r="R29" s="3">
        <s:v>120</s:v>
      </s:c>
      <s:c r="S29" s="22"/>
      <s:c r="T29" s="22"/>
      <s:c r="U29" s="22"/>
      <s:c r="V29" s="22"/>
      <s:c r="W29" s="22"/>
      <s:c r="X29" s="22"/>
      <s:c r="Y29" s="22"/>
      <s:c r="Z29" s="22"/>
      <s:c r="AA29" s="22"/>
      <s:c r="AB29" s="3">
        <s:v>120</s:v>
      </s:c>
      <s:c r="AC29" s="3">
        <s:v>85</s:v>
      </s:c>
      <s:c r="AD29" s="3">
        <s:f validation_="true">AB29*AC29</s:f>
        <s:v>10200</s:v>
      </s:c>
    </s:row>
    <s:row x14ac:dyDescent="0.25" r="30" spans="1:30">
      <s:c r="A30" s="24" t="s">
        <s:v>125</s:v>
      </s:c>
      <s:c r="B30" s="3" t="s">
        <s:v>61</s:v>
      </s:c>
      <s:c r="C30" s="3" t="s">
        <s:v>126</s:v>
      </s:c>
      <s:c r="D30" s="3"/>
      <s:c r="E30" s="3"/>
      <s:c r="F30" s="3"/>
      <s:c r="G30" s="3"/>
      <s:c r="H30" s="3"/>
      <s:c r="I30" s="3"/>
      <s:c r="J30" s="3"/>
      <s:c r="K30" s="3"/>
      <s:c r="L30" s="3"/>
      <s:c r="M30" s="3"/>
      <s:c r="N30" s="3"/>
      <s:c r="O30" s="3"/>
      <s:c r="P30" s="3"/>
      <s:c r="Q30" s="3"/>
      <s:c r="R30" s="3">
        <s:v>5</s:v>
      </s:c>
      <s:c r="S30" s="22"/>
      <s:c r="T30" s="22"/>
      <s:c r="U30" s="22"/>
      <s:c r="V30" s="22"/>
      <s:c r="W30" s="22"/>
      <s:c r="X30" s="22"/>
      <s:c r="Y30" s="22"/>
      <s:c r="Z30" s="22"/>
      <s:c r="AA30" s="22"/>
      <s:c r="AB30" s="3">
        <s:v>5</s:v>
      </s:c>
      <s:c r="AC30" s="3">
        <s:v>600</s:v>
      </s:c>
      <s:c r="AD30" s="3">
        <s:f validation_="true">AB30*AC30</s:f>
        <s:v>3000</s:v>
      </s:c>
    </s:row>
    <s:row x14ac:dyDescent="0.25" r="31" spans="1:30">
      <s:c r="A31" s="24" t="s">
        <s:v>128</s:v>
      </s:c>
      <s:c r="B31" s="3" t="s">
        <s:v>129</s:v>
      </s:c>
      <s:c r="C31" s="3" t="s">
        <s:v>30</s:v>
      </s:c>
      <s:c r="D31" s="3"/>
      <s:c r="E31" s="3"/>
      <s:c r="F31" s="3"/>
      <s:c r="G31" s="3"/>
      <s:c r="H31" s="3"/>
      <s:c r="I31" s="3"/>
      <s:c r="J31" s="3"/>
      <s:c r="K31" s="3"/>
      <s:c r="L31" s="3"/>
      <s:c r="M31" s="3"/>
      <s:c r="N31" s="3"/>
      <s:c r="O31" s="3"/>
      <s:c r="P31" s="3"/>
      <s:c r="Q31" s="3"/>
      <s:c r="R31" s="3"/>
      <s:c r="S31" s="22">
        <s:v>2.8</s:v>
      </s:c>
      <s:c r="T31" s="22"/>
      <s:c r="U31" s="22"/>
      <s:c r="V31" s="22"/>
      <s:c r="W31" s="22"/>
      <s:c r="X31" s="22"/>
      <s:c r="Y31" s="22"/>
      <s:c r="Z31" s="22"/>
      <s:c r="AA31" s="22"/>
      <s:c r="AB31" s="3">
        <s:v>2.8</s:v>
      </s:c>
      <s:c r="AC31" s="3">
        <s:v>1200</s:v>
      </s:c>
      <s:c r="AD31" s="3">
        <s:f validation_="true">AB31*AC31</s:f>
        <s:v>3360</s:v>
      </s:c>
    </s:row>
    <s:row x14ac:dyDescent="0.25" r="32" spans="1:30">
      <s:c r="A32" s="24" t="s">
        <s:v>130</s:v>
      </s:c>
      <s:c r="B32" s="3" t="s">
        <s:v>129</s:v>
      </s:c>
      <s:c r="C32" s="3" t="s">
        <s:v>30</s:v>
      </s:c>
      <s:c r="D32" s="3"/>
      <s:c r="E32" s="3"/>
      <s:c r="F32" s="3"/>
      <s:c r="G32" s="3"/>
      <s:c r="H32" s="3"/>
      <s:c r="I32" s="3"/>
      <s:c r="J32" s="3"/>
      <s:c r="K32" s="3"/>
      <s:c r="L32" s="3"/>
      <s:c r="M32" s="3"/>
      <s:c r="N32" s="3"/>
      <s:c r="O32" s="3"/>
      <s:c r="P32" s="3"/>
      <s:c r="Q32" s="3"/>
      <s:c r="R32" s="3"/>
      <s:c r="S32" s="22">
        <s:v>2.5</s:v>
      </s:c>
      <s:c r="T32" s="22"/>
      <s:c r="U32" s="22"/>
      <s:c r="V32" s="22"/>
      <s:c r="W32" s="22"/>
      <s:c r="X32" s="22"/>
      <s:c r="Y32" s="22"/>
      <s:c r="Z32" s="22"/>
      <s:c r="AA32" s="22"/>
      <s:c r="AB32" s="3">
        <s:v>2.5</s:v>
      </s:c>
      <s:c r="AC32" s="3">
        <s:v>250</s:v>
      </s:c>
      <s:c r="AD32" s="3">
        <s:f validation_="true">AB32*AC32</s:f>
        <s:v>625</s:v>
      </s:c>
    </s:row>
    <s:row x14ac:dyDescent="0.25" r="33" spans="1:30">
      <s:c r="A33" s="24" t="s">
        <s:v>151</s:v>
      </s:c>
      <s:c r="B33" s="3" t="s">
        <s:v>132</s:v>
      </s:c>
      <s:c r="C33" s="3" t="s">
        <s:v>133</s:v>
      </s:c>
      <s:c r="D33" s="3"/>
      <s:c r="E33" s="3"/>
      <s:c r="F33" s="3"/>
      <s:c r="G33" s="3"/>
      <s:c r="H33" s="3"/>
      <s:c r="I33" s="3"/>
      <s:c r="J33" s="3"/>
      <s:c r="K33" s="3"/>
      <s:c r="L33" s="3"/>
      <s:c r="M33" s="3"/>
      <s:c r="N33" s="3"/>
      <s:c r="O33" s="3"/>
      <s:c r="P33" s="3"/>
      <s:c r="Q33" s="3"/>
      <s:c r="R33" s="3"/>
      <s:c r="S33" s="22"/>
      <s:c r="T33" s="22"/>
      <s:c r="U33" s="22"/>
      <s:c r="V33" s="22">
        <s:v>4</s:v>
      </s:c>
      <s:c r="W33" s="22"/>
      <s:c r="X33" s="22"/>
      <s:c r="Y33" s="22"/>
      <s:c r="Z33" s="22"/>
      <s:c r="AA33" s="22"/>
      <s:c r="AB33" s="3">
        <s:v>4</s:v>
      </s:c>
      <s:c r="AC33" s="3">
        <s:v>40</s:v>
      </s:c>
      <s:c r="AD33" s="3">
        <s:f validation_="true">AB33*AC33</s:f>
        <s:v>160</s:v>
      </s:c>
    </s:row>
    <s:row x14ac:dyDescent="0.25" r="34" spans="1:30">
      <s:c r="A34" s="24" t="s">
        <s:v>131</s:v>
      </s:c>
      <s:c r="B34" s="3" t="s">
        <s:v>132</s:v>
      </s:c>
      <s:c r="C34" s="3" t="s">
        <s:v>133</s:v>
      </s:c>
      <s:c r="D34" s="3"/>
      <s:c r="E34" s="3"/>
      <s:c r="F34" s="3"/>
      <s:c r="G34" s="3"/>
      <s:c r="H34" s="3"/>
      <s:c r="I34" s="3"/>
      <s:c r="J34" s="3"/>
      <s:c r="K34" s="3"/>
      <s:c r="L34" s="3"/>
      <s:c r="M34" s="3"/>
      <s:c r="N34" s="3"/>
      <s:c r="O34" s="3"/>
      <s:c r="P34" s="3"/>
      <s:c r="Q34" s="3"/>
      <s:c r="R34" s="3"/>
      <s:c r="S34" s="22">
        <s:v>1</s:v>
      </s:c>
      <s:c r="T34" s="22"/>
      <s:c r="U34" s="22"/>
      <s:c r="V34" s="22"/>
      <s:c r="W34" s="22"/>
      <s:c r="X34" s="22"/>
      <s:c r="Y34" s="22"/>
      <s:c r="Z34" s="22"/>
      <s:c r="AA34" s="22"/>
      <s:c r="AB34" s="3">
        <s:v>1</s:v>
      </s:c>
      <s:c r="AC34" s="3">
        <s:v>65</s:v>
      </s:c>
      <s:c r="AD34" s="3">
        <s:f validation_="true">AB34*AC34</s:f>
        <s:v>65</s:v>
      </s:c>
    </s:row>
    <s:row x14ac:dyDescent="0.25" r="35" spans="1:30">
      <s:c r="A35" s="24" t="s">
        <s:v>134</s:v>
      </s:c>
      <s:c r="B35" s="3" t="s">
        <s:v>135</s:v>
      </s:c>
      <s:c r="C35" s="3" t="s">
        <s:v>133</s:v>
      </s:c>
      <s:c r="D35" s="3"/>
      <s:c r="E35" s="3"/>
      <s:c r="F35" s="3"/>
      <s:c r="G35" s="3"/>
      <s:c r="H35" s="3"/>
      <s:c r="I35" s="3"/>
      <s:c r="J35" s="3"/>
      <s:c r="K35" s="3"/>
      <s:c r="L35" s="3"/>
      <s:c r="M35" s="3"/>
      <s:c r="N35" s="3"/>
      <s:c r="O35" s="3"/>
      <s:c r="P35" s="3"/>
      <s:c r="Q35" s="3"/>
      <s:c r="R35" s="3"/>
      <s:c r="S35" s="22">
        <s:v>2</s:v>
      </s:c>
      <s:c r="T35" s="22">
        <s:v>3</s:v>
      </s:c>
      <s:c r="U35" s="22">
        <s:v>1</s:v>
      </s:c>
      <s:c r="V35" s="22">
        <s:v>2</s:v>
      </s:c>
      <s:c r="W35" s="22">
        <s:v>2</s:v>
      </s:c>
      <s:c r="X35" s="22">
        <s:v>1</s:v>
      </s:c>
      <s:c r="Y35" s="22">
        <s:v>1</s:v>
      </s:c>
      <s:c r="Z35" s="22">
        <s:v>2</s:v>
      </s:c>
      <s:c r="AA35" s="22"/>
      <s:c r="AB35" s="3">
        <s:v>14</s:v>
      </s:c>
      <s:c r="AC35" s="3">
        <s:v>150</s:v>
      </s:c>
      <s:c r="AD35" s="3">
        <s:f validation_="true">AB35*AC35</s:f>
        <s:v>2100</s:v>
      </s:c>
    </s:row>
    <s:row x14ac:dyDescent="0.25" r="36" spans="1:30">
      <s:c r="A36" s="24" t="s">
        <s:v>139</s:v>
      </s:c>
      <s:c r="B36" s="3" t="s">
        <s:v>129</s:v>
      </s:c>
      <s:c r="C36" s="3" t="s">
        <s:v>30</s:v>
      </s:c>
      <s:c r="D36" s="3"/>
      <s:c r="E36" s="3"/>
      <s:c r="F36" s="3"/>
      <s:c r="G36" s="3"/>
      <s:c r="H36" s="3"/>
      <s:c r="I36" s="3"/>
      <s:c r="J36" s="3"/>
      <s:c r="K36" s="3"/>
      <s:c r="L36" s="3"/>
      <s:c r="M36" s="3"/>
      <s:c r="N36" s="3"/>
      <s:c r="O36" s="3"/>
      <s:c r="P36" s="3"/>
      <s:c r="Q36" s="3"/>
      <s:c r="R36" s="3"/>
      <s:c r="S36" s="22"/>
      <s:c r="T36" s="22">
        <s:v>5.2</s:v>
      </s:c>
      <s:c r="U36" s="22"/>
      <s:c r="V36" s="22"/>
      <s:c r="W36" s="22"/>
      <s:c r="X36" s="22"/>
      <s:c r="Y36" s="22"/>
      <s:c r="Z36" s="22"/>
      <s:c r="AA36" s="22"/>
      <s:c r="AB36" s="3">
        <s:v>5.2</s:v>
      </s:c>
      <s:c r="AC36" s="3">
        <s:v>800</s:v>
      </s:c>
      <s:c r="AD36" s="3">
        <s:f validation_="true">AB36*AC36</s:f>
        <s:v>4160</s:v>
      </s:c>
    </s:row>
    <s:row x14ac:dyDescent="0.25" r="37" spans="1:30">
      <s:c r="A37" s="24" t="s">
        <s:v>140</s:v>
      </s:c>
      <s:c r="B37" s="3" t="s">
        <s:v>129</s:v>
      </s:c>
      <s:c r="C37" s="3" t="s">
        <s:v>30</s:v>
      </s:c>
      <s:c r="D37" s="3"/>
      <s:c r="E37" s="3"/>
      <s:c r="F37" s="3"/>
      <s:c r="G37" s="3"/>
      <s:c r="H37" s="3"/>
      <s:c r="I37" s="3"/>
      <s:c r="J37" s="3"/>
      <s:c r="K37" s="3"/>
      <s:c r="L37" s="3"/>
      <s:c r="M37" s="3"/>
      <s:c r="N37" s="3"/>
      <s:c r="O37" s="3"/>
      <s:c r="P37" s="3"/>
      <s:c r="Q37" s="3"/>
      <s:c r="R37" s="3"/>
      <s:c r="S37" s="22"/>
      <s:c r="T37" s="22">
        <s:v>2</s:v>
      </s:c>
      <s:c r="U37" s="22"/>
      <s:c r="V37" s="22"/>
      <s:c r="W37" s="22"/>
      <s:c r="X37" s="22"/>
      <s:c r="Y37" s="22"/>
      <s:c r="Z37" s="22"/>
      <s:c r="AA37" s="22"/>
      <s:c r="AB37" s="3">
        <s:v>2</s:v>
      </s:c>
      <s:c r="AC37" s="3">
        <s:v>100</s:v>
      </s:c>
      <s:c r="AD37" s="3">
        <s:f validation_="true">AB37*AC37</s:f>
        <s:v>200</s:v>
      </s:c>
    </s:row>
    <s:row x14ac:dyDescent="0.25" r="38" spans="1:30">
      <s:c r="A38" s="24" t="s">
        <s:v>141</s:v>
      </s:c>
      <s:c r="B38" s="3" t="s">
        <s:v>132</s:v>
      </s:c>
      <s:c r="C38" s="3" t="s">
        <s:v>133</s:v>
      </s:c>
      <s:c r="D38" s="3"/>
      <s:c r="E38" s="3"/>
      <s:c r="F38" s="3"/>
      <s:c r="G38" s="3"/>
      <s:c r="H38" s="3"/>
      <s:c r="I38" s="3"/>
      <s:c r="J38" s="3"/>
      <s:c r="K38" s="3"/>
      <s:c r="L38" s="3"/>
      <s:c r="M38" s="3"/>
      <s:c r="N38" s="3"/>
      <s:c r="O38" s="3"/>
      <s:c r="P38" s="3"/>
      <s:c r="Q38" s="3"/>
      <s:c r="R38" s="3"/>
      <s:c r="S38" s="22"/>
      <s:c r="T38" s="22">
        <s:v>6</s:v>
      </s:c>
      <s:c r="U38" s="22">
        <s:v>5</s:v>
      </s:c>
      <s:c r="V38" s="22"/>
      <s:c r="W38" s="22"/>
      <s:c r="X38" s="22">
        <s:v>3</s:v>
      </s:c>
      <s:c r="Y38" s="22"/>
      <s:c r="Z38" s="22"/>
      <s:c r="AA38" s="22"/>
      <s:c r="AB38" s="3">
        <s:v>14</s:v>
      </s:c>
      <s:c r="AC38" s="3">
        <s:v>30</s:v>
      </s:c>
      <s:c r="AD38" s="3">
        <s:f validation_="true">AB38*AC38</s:f>
        <s:v>420</s:v>
      </s:c>
    </s:row>
    <s:row x14ac:dyDescent="0.25" r="39" spans="1:30">
      <s:c r="A39" s="24" t="s">
        <s:v>144</s:v>
      </s:c>
      <s:c r="B39" s="3" t="s">
        <s:v>129</s:v>
      </s:c>
      <s:c r="C39" s="3" t="s">
        <s:v>30</s:v>
      </s:c>
      <s:c r="D39" s="3"/>
      <s:c r="E39" s="3"/>
      <s:c r="F39" s="3"/>
      <s:c r="G39" s="3"/>
      <s:c r="H39" s="3"/>
      <s:c r="I39" s="3"/>
      <s:c r="J39" s="3"/>
      <s:c r="K39" s="3"/>
      <s:c r="L39" s="3"/>
      <s:c r="M39" s="3"/>
      <s:c r="N39" s="3"/>
      <s:c r="O39" s="3"/>
      <s:c r="P39" s="3"/>
      <s:c r="Q39" s="3"/>
      <s:c r="R39" s="3"/>
      <s:c r="S39" s="22"/>
      <s:c r="T39" s="22"/>
      <s:c r="U39" s="22">
        <s:v>1.8</s:v>
      </s:c>
      <s:c r="V39" s="22"/>
      <s:c r="W39" s="22"/>
      <s:c r="X39" s="22"/>
      <s:c r="Y39" s="22"/>
      <s:c r="Z39" s="22"/>
      <s:c r="AA39" s="22"/>
      <s:c r="AB39" s="3">
        <s:v>1.8</s:v>
      </s:c>
      <s:c r="AC39" s="3">
        <s:v>200</s:v>
      </s:c>
      <s:c r="AD39" s="3">
        <s:f validation_="true">AB39*AC39</s:f>
        <s:v>360</s:v>
      </s:c>
    </s:row>
    <s:row x14ac:dyDescent="0.25" r="40" spans="1:30">
      <s:c r="A40" s="24" t="s">
        <s:v>145</s:v>
      </s:c>
      <s:c r="B40" s="3" t="s">
        <s:v>132</s:v>
      </s:c>
      <s:c r="C40" s="3" t="s">
        <s:v>133</s:v>
      </s:c>
      <s:c r="D40" s="3"/>
      <s:c r="E40" s="3"/>
      <s:c r="F40" s="3"/>
      <s:c r="G40" s="3"/>
      <s:c r="H40" s="3"/>
      <s:c r="I40" s="3"/>
      <s:c r="J40" s="3"/>
      <s:c r="K40" s="3"/>
      <s:c r="L40" s="3"/>
      <s:c r="M40" s="3"/>
      <s:c r="N40" s="3"/>
      <s:c r="O40" s="3"/>
      <s:c r="P40" s="3"/>
      <s:c r="Q40" s="3"/>
      <s:c r="R40" s="3"/>
      <s:c r="S40" s="22"/>
      <s:c r="T40" s="22"/>
      <s:c r="U40" s="22">
        <s:v>1</s:v>
      </s:c>
      <s:c r="V40" s="22"/>
      <s:c r="W40" s="22">
        <s:v>1</s:v>
      </s:c>
      <s:c r="X40" s="22"/>
      <s:c r="Y40" s="22"/>
      <s:c r="Z40" s="22"/>
      <s:c r="AA40" s="22"/>
      <s:c r="AB40" s="3">
        <s:v>2</s:v>
      </s:c>
      <s:c r="AC40" s="3">
        <s:v>65</s:v>
      </s:c>
      <s:c r="AD40" s="3">
        <s:f validation_="true">AB40*AC40</s:f>
        <s:v>130</s:v>
      </s:c>
    </s:row>
    <s:row x14ac:dyDescent="0.25" r="41" spans="1:30">
      <s:c r="A41" s="24" t="s">
        <s:v>148</s:v>
      </s:c>
      <s:c r="B41" s="3" t="s">
        <s:v>129</s:v>
      </s:c>
      <s:c r="C41" s="3" t="s">
        <s:v>30</s:v>
      </s:c>
      <s:c r="D41" s="3"/>
      <s:c r="E41" s="3"/>
      <s:c r="F41" s="3"/>
      <s:c r="G41" s="3"/>
      <s:c r="H41" s="3"/>
      <s:c r="I41" s="3"/>
      <s:c r="J41" s="3"/>
      <s:c r="K41" s="3"/>
      <s:c r="L41" s="3"/>
      <s:c r="M41" s="3"/>
      <s:c r="N41" s="3"/>
      <s:c r="O41" s="3"/>
      <s:c r="P41" s="3"/>
      <s:c r="Q41" s="3"/>
      <s:c r="R41" s="3"/>
      <s:c r="S41" s="22"/>
      <s:c r="T41" s="22"/>
      <s:c r="U41" s="22"/>
      <s:c r="V41" s="22">
        <s:v>2.5</s:v>
      </s:c>
      <s:c r="W41" s="22"/>
      <s:c r="X41" s="22"/>
      <s:c r="Y41" s="22"/>
      <s:c r="Z41" s="22"/>
      <s:c r="AA41" s="22"/>
      <s:c r="AB41" s="3">
        <s:v>2.5</s:v>
      </s:c>
      <s:c r="AC41" s="3">
        <s:v>1200</s:v>
      </s:c>
      <s:c r="AD41" s="3">
        <s:f validation_="true">AB41*AC41</s:f>
        <s:v>3000</s:v>
      </s:c>
    </s:row>
    <s:row x14ac:dyDescent="0.25" r="42" spans="1:30">
      <s:c r="A42" s="24" t="s">
        <s:v>149</s:v>
      </s:c>
      <s:c r="B42" s="3" t="s">
        <s:v>129</s:v>
      </s:c>
      <s:c r="C42" s="3" t="s">
        <s:v>30</s:v>
      </s:c>
      <s:c r="D42" s="3"/>
      <s:c r="E42" s="3"/>
      <s:c r="F42" s="3"/>
      <s:c r="G42" s="3"/>
      <s:c r="H42" s="3"/>
      <s:c r="I42" s="3"/>
      <s:c r="J42" s="3"/>
      <s:c r="K42" s="3"/>
      <s:c r="L42" s="3"/>
      <s:c r="M42" s="3"/>
      <s:c r="N42" s="3"/>
      <s:c r="O42" s="3"/>
      <s:c r="P42" s="3"/>
      <s:c r="Q42" s="3"/>
      <s:c r="R42" s="3"/>
      <s:c r="S42" s="22"/>
      <s:c r="T42" s="22"/>
      <s:c r="U42" s="22"/>
      <s:c r="V42" s="22">
        <s:v>1.2</s:v>
      </s:c>
      <s:c r="W42" s="22"/>
      <s:c r="X42" s="22"/>
      <s:c r="Y42" s="22"/>
      <s:c r="Z42" s="22"/>
      <s:c r="AA42" s="22"/>
      <s:c r="AB42" s="3">
        <s:v>1.2</s:v>
      </s:c>
      <s:c r="AC42" s="3">
        <s:v>850</s:v>
      </s:c>
      <s:c r="AD42" s="3">
        <s:f validation_="true">AB42*AC42</s:f>
        <s:v>1020</s:v>
      </s:c>
    </s:row>
    <s:row x14ac:dyDescent="0.25" r="43" spans="1:30">
      <s:c r="A43" s="24" t="s">
        <s:v>150</s:v>
      </s:c>
      <s:c r="B43" s="3" t="s">
        <s:v>129</s:v>
      </s:c>
      <s:c r="C43" s="3" t="s">
        <s:v>34</s:v>
      </s:c>
      <s:c r="D43" s="3"/>
      <s:c r="E43" s="3"/>
      <s:c r="F43" s="3"/>
      <s:c r="G43" s="3"/>
      <s:c r="H43" s="3"/>
      <s:c r="I43" s="3"/>
      <s:c r="J43" s="3"/>
      <s:c r="K43" s="3"/>
      <s:c r="L43" s="3"/>
      <s:c r="M43" s="3"/>
      <s:c r="N43" s="3"/>
      <s:c r="O43" s="3"/>
      <s:c r="P43" s="3"/>
      <s:c r="Q43" s="3"/>
      <s:c r="R43" s="3"/>
      <s:c r="S43" s="22"/>
      <s:c r="T43" s="22"/>
      <s:c r="U43" s="22"/>
      <s:c r="V43" s="22">
        <s:v>0.1</s:v>
      </s:c>
      <s:c r="W43" s="22"/>
      <s:c r="X43" s="22"/>
      <s:c r="Y43" s="22"/>
      <s:c r="Z43" s="22"/>
      <s:c r="AA43" s="22"/>
      <s:c r="AB43" s="3">
        <s:v>0.1</s:v>
      </s:c>
      <s:c r="AC43" s="3">
        <s:v>800</s:v>
      </s:c>
      <s:c r="AD43" s="3">
        <s:f validation_="true">AB43*AC43</s:f>
        <s:v>80</s:v>
      </s:c>
    </s:row>
    <s:row x14ac:dyDescent="0.25" r="44" spans="1:30">
      <s:c r="A44" s="24" t="s">
        <s:v>154</s:v>
      </s:c>
      <s:c r="B44" s="3" t="s">
        <s:v>129</s:v>
      </s:c>
      <s:c r="C44" s="3" t="s">
        <s:v>30</s:v>
      </s:c>
      <s:c r="D44" s="3"/>
      <s:c r="E44" s="3"/>
      <s:c r="F44" s="3"/>
      <s:c r="G44" s="3"/>
      <s:c r="H44" s="3"/>
      <s:c r="I44" s="3"/>
      <s:c r="J44" s="3"/>
      <s:c r="K44" s="3"/>
      <s:c r="L44" s="3"/>
      <s:c r="M44" s="3"/>
      <s:c r="N44" s="3"/>
      <s:c r="O44" s="3"/>
      <s:c r="P44" s="3"/>
      <s:c r="Q44" s="3"/>
      <s:c r="R44" s="3"/>
      <s:c r="S44" s="22"/>
      <s:c r="T44" s="22"/>
      <s:c r="U44" s="22"/>
      <s:c r="V44" s="22"/>
      <s:c r="W44" s="22">
        <s:v>2.2000000000000002</s:v>
      </s:c>
      <s:c r="X44" s="22"/>
      <s:c r="Y44" s="22"/>
      <s:c r="Z44" s="22"/>
      <s:c r="AA44" s="22"/>
      <s:c r="AB44" s="3">
        <s:v>2.2000000000000002</s:v>
      </s:c>
      <s:c r="AC44" s="3">
        <s:v>590</s:v>
      </s:c>
      <s:c r="AD44" s="3">
        <s:f validation_="true">AB44*AC44</s:f>
        <s:v>1298</s:v>
      </s:c>
    </s:row>
    <s:row x14ac:dyDescent="0.25" r="45" spans="1:30">
      <s:c r="A45" s="24" t="s">
        <s:v>157</s:v>
      </s:c>
      <s:c r="B45" s="3" t="s">
        <s:v>129</s:v>
      </s:c>
      <s:c r="C45" s="3" t="s">
        <s:v>30</s:v>
      </s:c>
      <s:c r="D45" s="3"/>
      <s:c r="E45" s="3"/>
      <s:c r="F45" s="3"/>
      <s:c r="G45" s="3"/>
      <s:c r="H45" s="3"/>
      <s:c r="I45" s="3"/>
      <s:c r="J45" s="3"/>
      <s:c r="K45" s="3"/>
      <s:c r="L45" s="3"/>
      <s:c r="M45" s="3"/>
      <s:c r="N45" s="3"/>
      <s:c r="O45" s="3"/>
      <s:c r="P45" s="3"/>
      <s:c r="Q45" s="3"/>
      <s:c r="R45" s="3"/>
      <s:c r="S45" s="22"/>
      <s:c r="T45" s="22"/>
      <s:c r="U45" s="22"/>
      <s:c r="V45" s="22"/>
      <s:c r="W45" s="22"/>
      <s:c r="X45" s="22">
        <s:v>2</s:v>
      </s:c>
      <s:c r="Y45" s="22"/>
      <s:c r="Z45" s="22"/>
      <s:c r="AA45" s="22"/>
      <s:c r="AB45" s="3">
        <s:v>2</s:v>
      </s:c>
      <s:c r="AC45" s="3">
        <s:v>400</s:v>
      </s:c>
      <s:c r="AD45" s="3">
        <s:f validation_="true">AB45*AC45</s:f>
        <s:v>800</s:v>
      </s:c>
    </s:row>
    <s:row x14ac:dyDescent="0.25" r="46" spans="1:30">
      <s:c r="A46" s="24" t="s">
        <s:v>158</s:v>
      </s:c>
      <s:c r="B46" s="3" t="s">
        <s:v>129</s:v>
      </s:c>
      <s:c r="C46" s="3" t="s">
        <s:v>30</s:v>
      </s:c>
      <s:c r="D46" s="3"/>
      <s:c r="E46" s="3"/>
      <s:c r="F46" s="3"/>
      <s:c r="G46" s="3"/>
      <s:c r="H46" s="3"/>
      <s:c r="I46" s="3"/>
      <s:c r="J46" s="3"/>
      <s:c r="K46" s="3"/>
      <s:c r="L46" s="3"/>
      <s:c r="M46" s="3"/>
      <s:c r="N46" s="3"/>
      <s:c r="O46" s="3"/>
      <s:c r="P46" s="3"/>
      <s:c r="Q46" s="3"/>
      <s:c r="R46" s="3"/>
      <s:c r="S46" s="22"/>
      <s:c r="T46" s="22"/>
      <s:c r="U46" s="22"/>
      <s:c r="V46" s="22"/>
      <s:c r="W46" s="22"/>
      <s:c r="X46" s="22">
        <s:v>0.5</s:v>
      </s:c>
      <s:c r="Y46" s="22"/>
      <s:c r="Z46" s="22"/>
      <s:c r="AA46" s="22"/>
      <s:c r="AB46" s="3">
        <s:v>0.5</s:v>
      </s:c>
      <s:c r="AC46" s="3">
        <s:v>50</s:v>
      </s:c>
      <s:c r="AD46" s="3">
        <s:f validation_="true">AB46*AC46</s:f>
        <s:v>25</s:v>
      </s:c>
    </s:row>
    <s:row x14ac:dyDescent="0.25" r="47" spans="1:30">
      <s:c r="A47" s="24" t="s">
        <s:v>161</s:v>
      </s:c>
      <s:c r="B47" s="3" t="s">
        <s:v>129</s:v>
      </s:c>
      <s:c r="C47" s="3" t="s">
        <s:v>30</s:v>
      </s:c>
      <s:c r="D47" s="3"/>
      <s:c r="E47" s="3"/>
      <s:c r="F47" s="3"/>
      <s:c r="G47" s="3"/>
      <s:c r="H47" s="3"/>
      <s:c r="I47" s="3"/>
      <s:c r="J47" s="3"/>
      <s:c r="K47" s="3"/>
      <s:c r="L47" s="3"/>
      <s:c r="M47" s="3"/>
      <s:c r="N47" s="3"/>
      <s:c r="O47" s="3"/>
      <s:c r="P47" s="3"/>
      <s:c r="Q47" s="3"/>
      <s:c r="R47" s="3"/>
      <s:c r="S47" s="22"/>
      <s:c r="T47" s="22"/>
      <s:c r="U47" s="22"/>
      <s:c r="V47" s="22"/>
      <s:c r="W47" s="22"/>
      <s:c r="X47" s="22"/>
      <s:c r="Y47" s="22">
        <s:v>1.5</s:v>
      </s:c>
      <s:c r="Z47" s="22"/>
      <s:c r="AA47" s="22"/>
      <s:c r="AB47" s="3">
        <s:v>1.5</s:v>
      </s:c>
      <s:c r="AC47" s="3">
        <s:v>1200</s:v>
      </s:c>
      <s:c r="AD47" s="3">
        <s:f validation_="true">AB47*AC47</s:f>
        <s:v>1800</s:v>
      </s:c>
    </s:row>
    <s:row x14ac:dyDescent="0.25" r="48" spans="1:30">
      <s:c r="A48" s="24" t="s">
        <s:v>162</s:v>
      </s:c>
      <s:c r="B48" s="3" t="s">
        <s:v>129</s:v>
      </s:c>
      <s:c r="C48" s="3" t="s">
        <s:v>30</s:v>
      </s:c>
      <s:c r="D48" s="3"/>
      <s:c r="E48" s="3"/>
      <s:c r="F48" s="3"/>
      <s:c r="G48" s="3"/>
      <s:c r="H48" s="3"/>
      <s:c r="I48" s="3"/>
      <s:c r="J48" s="3"/>
      <s:c r="K48" s="3"/>
      <s:c r="L48" s="3"/>
      <s:c r="M48" s="3"/>
      <s:c r="N48" s="3"/>
      <s:c r="O48" s="3"/>
      <s:c r="P48" s="3"/>
      <s:c r="Q48" s="3"/>
      <s:c r="R48" s="3"/>
      <s:c r="S48" s="22"/>
      <s:c r="T48" s="22"/>
      <s:c r="U48" s="22"/>
      <s:c r="V48" s="22"/>
      <s:c r="W48" s="22"/>
      <s:c r="X48" s="22"/>
      <s:c r="Y48" s="22">
        <s:v>1.5</s:v>
      </s:c>
      <s:c r="Z48" s="22"/>
      <s:c r="AA48" s="22"/>
      <s:c r="AB48" s="3">
        <s:v>1.5</s:v>
      </s:c>
      <s:c r="AC48" s="3">
        <s:v>250</s:v>
      </s:c>
      <s:c r="AD48" s="3">
        <s:f validation_="true">AB48*AC48</s:f>
        <s:v>375</s:v>
      </s:c>
    </s:row>
    <s:row x14ac:dyDescent="0.25" r="49" spans="1:30">
      <s:c r="A49" s="24" t="s">
        <s:v>163</s:v>
      </s:c>
      <s:c r="B49" s="3" t="s">
        <s:v>132</s:v>
      </s:c>
      <s:c r="C49" s="3" t="s">
        <s:v>133</s:v>
      </s:c>
      <s:c r="D49" s="3"/>
      <s:c r="E49" s="3"/>
      <s:c r="F49" s="3"/>
      <s:c r="G49" s="3"/>
      <s:c r="H49" s="3"/>
      <s:c r="I49" s="3"/>
      <s:c r="J49" s="3"/>
      <s:c r="K49" s="3"/>
      <s:c r="L49" s="3"/>
      <s:c r="M49" s="3"/>
      <s:c r="N49" s="3"/>
      <s:c r="O49" s="3"/>
      <s:c r="P49" s="3"/>
      <s:c r="Q49" s="3"/>
      <s:c r="R49" s="3"/>
      <s:c r="S49" s="22"/>
      <s:c r="T49" s="22"/>
      <s:c r="U49" s="22"/>
      <s:c r="V49" s="22"/>
      <s:c r="W49" s="22"/>
      <s:c r="X49" s="22"/>
      <s:c r="Y49" s="22">
        <s:v>1</s:v>
      </s:c>
      <s:c r="Z49" s="22"/>
      <s:c r="AA49" s="22"/>
      <s:c r="AB49" s="3">
        <s:v>1</s:v>
      </s:c>
      <s:c r="AC49" s="3">
        <s:v>350</s:v>
      </s:c>
      <s:c r="AD49" s="3">
        <s:f validation_="true">AB49*AC49</s:f>
        <s:v>350</s:v>
      </s:c>
    </s:row>
    <s:row x14ac:dyDescent="0.25" r="50" spans="1:30">
      <s:c r="A50" s="24" t="s">
        <s:v>166</s:v>
      </s:c>
      <s:c r="B50" s="3" t="s">
        <s:v>129</s:v>
      </s:c>
      <s:c r="C50" s="3" t="s">
        <s:v>30</s:v>
      </s:c>
      <s:c r="D50" s="3"/>
      <s:c r="E50" s="3"/>
      <s:c r="F50" s="3"/>
      <s:c r="G50" s="3"/>
      <s:c r="H50" s="3"/>
      <s:c r="I50" s="3"/>
      <s:c r="J50" s="3"/>
      <s:c r="K50" s="3"/>
      <s:c r="L50" s="3"/>
      <s:c r="M50" s="3"/>
      <s:c r="N50" s="3"/>
      <s:c r="O50" s="3"/>
      <s:c r="P50" s="3"/>
      <s:c r="Q50" s="3"/>
      <s:c r="R50" s="3"/>
      <s:c r="S50" s="22"/>
      <s:c r="T50" s="22"/>
      <s:c r="U50" s="22"/>
      <s:c r="V50" s="22"/>
      <s:c r="W50" s="22"/>
      <s:c r="X50" s="22"/>
      <s:c r="Y50" s="22"/>
      <s:c r="Z50" s="22">
        <s:v>2.8</s:v>
      </s:c>
      <s:c r="AA50" s="22"/>
      <s:c r="AB50" s="3">
        <s:v>2.8</s:v>
      </s:c>
      <s:c r="AC50" s="3">
        <s:v>1000</s:v>
      </s:c>
      <s:c r="AD50" s="3">
        <s:f validation_="true">AB50*AC50</s:f>
        <s:v>2800</s:v>
      </s:c>
    </s:row>
    <s:row x14ac:dyDescent="0.25" r="51" spans="1:30">
      <s:c r="A51" s="24" t="s">
        <s:v>167</s:v>
      </s:c>
      <s:c r="B51" s="3" t="s">
        <s:v>129</s:v>
      </s:c>
      <s:c r="C51" s="3" t="s">
        <s:v>30</s:v>
      </s:c>
      <s:c r="D51" s="3"/>
      <s:c r="E51" s="3"/>
      <s:c r="F51" s="3"/>
      <s:c r="G51" s="3"/>
      <s:c r="H51" s="3"/>
      <s:c r="I51" s="3"/>
      <s:c r="J51" s="3"/>
      <s:c r="K51" s="3"/>
      <s:c r="L51" s="3"/>
      <s:c r="M51" s="3"/>
      <s:c r="N51" s="3"/>
      <s:c r="O51" s="3"/>
      <s:c r="P51" s="3"/>
      <s:c r="Q51" s="3"/>
      <s:c r="R51" s="3"/>
      <s:c r="S51" s="22"/>
      <s:c r="T51" s="22"/>
      <s:c r="U51" s="22"/>
      <s:c r="V51" s="22"/>
      <s:c r="W51" s="22"/>
      <s:c r="X51" s="22"/>
      <s:c r="Y51" s="22"/>
      <s:c r="Z51" s="22">
        <s:v>2.5</s:v>
      </s:c>
      <s:c r="AA51" s="22"/>
      <s:c r="AB51" s="3">
        <s:v>2.5</s:v>
      </s:c>
      <s:c r="AC51" s="3">
        <s:v>250</s:v>
      </s:c>
      <s:c r="AD51" s="3">
        <s:f validation_="true">AB51*AC51</s:f>
        <s:v>625</s:v>
      </s:c>
    </s:row>
    <s:row x14ac:dyDescent="0.25" r="52" spans="1:30">
      <s:c r="A52" s="24" t="s">
        <s:v>168</s:v>
      </s:c>
      <s:c r="B52" s="3" t="s">
        <s:v>132</s:v>
      </s:c>
      <s:c r="C52" s="3" t="s">
        <s:v>133</s:v>
      </s:c>
      <s:c r="D52" s="3"/>
      <s:c r="E52" s="3"/>
      <s:c r="F52" s="3"/>
      <s:c r="G52" s="3"/>
      <s:c r="H52" s="3"/>
      <s:c r="I52" s="3"/>
      <s:c r="J52" s="3"/>
      <s:c r="K52" s="3"/>
      <s:c r="L52" s="3"/>
      <s:c r="M52" s="3"/>
      <s:c r="N52" s="3"/>
      <s:c r="O52" s="3"/>
      <s:c r="P52" s="3"/>
      <s:c r="Q52" s="3"/>
      <s:c r="R52" s="3"/>
      <s:c r="S52" s="22"/>
      <s:c r="T52" s="22"/>
      <s:c r="U52" s="22"/>
      <s:c r="V52" s="22"/>
      <s:c r="W52" s="22"/>
      <s:c r="X52" s="22"/>
      <s:c r="Y52" s="22"/>
      <s:c r="Z52" s="22">
        <s:v>6</s:v>
      </s:c>
      <s:c r="AA52" s="22"/>
      <s:c r="AB52" s="3">
        <s:v>6</s:v>
      </s:c>
      <s:c r="AC52" s="3">
        <s:v>40</s:v>
      </s:c>
      <s:c r="AD52" s="3">
        <s:f validation_="true">AB52*AC52</s:f>
        <s:v>240</s:v>
      </s:c>
    </s:row>
    <s:row x14ac:dyDescent="0.25" r="53" spans="1:30">
      <s:c r="A53" s="24" t="s">
        <s:v>171</s:v>
      </s:c>
      <s:c r="B53" s="3" t="s">
        <s:v>129</s:v>
      </s:c>
      <s:c r="C53" s="3" t="s">
        <s:v>34</s:v>
      </s:c>
      <s:c r="D53" s="3"/>
      <s:c r="E53" s="3"/>
      <s:c r="F53" s="3"/>
      <s:c r="G53" s="3"/>
      <s:c r="H53" s="3"/>
      <s:c r="I53" s="3"/>
      <s:c r="J53" s="3"/>
      <s:c r="K53" s="3"/>
      <s:c r="L53" s="3"/>
      <s:c r="M53" s="3"/>
      <s:c r="N53" s="3"/>
      <s:c r="O53" s="3"/>
      <s:c r="P53" s="3"/>
      <s:c r="Q53" s="3"/>
      <s:c r="R53" s="3"/>
      <s:c r="S53" s="22"/>
      <s:c r="T53" s="22"/>
      <s:c r="U53" s="22"/>
      <s:c r="V53" s="22"/>
      <s:c r="W53" s="22"/>
      <s:c r="X53" s="22"/>
      <s:c r="Y53" s="22"/>
      <s:c r="Z53" s="22"/>
      <s:c r="AA53" s="22">
        <s:v>2.5</s:v>
      </s:c>
      <s:c r="AB53" s="3">
        <s:v>2.5</s:v>
      </s:c>
      <s:c r="AC53" s="3">
        <s:v>800</s:v>
      </s:c>
      <s:c r="AD53" s="3">
        <s:f validation_="true">AB53*AC53</s:f>
        <s:v>2000</s:v>
      </s:c>
    </s:row>
    <s:row x14ac:dyDescent="0.25" r="54" spans="1:30">
      <s:c r="A54" s="24" t="s">
        <s:v>172</s:v>
      </s:c>
      <s:c r="B54" s="3" t="s">
        <s:v>132</s:v>
      </s:c>
      <s:c r="C54" s="3" t="s">
        <s:v>54</s:v>
      </s:c>
      <s:c r="D54" s="3"/>
      <s:c r="E54" s="3"/>
      <s:c r="F54" s="3"/>
      <s:c r="G54" s="3"/>
      <s:c r="H54" s="3"/>
      <s:c r="I54" s="3"/>
      <s:c r="J54" s="3"/>
      <s:c r="K54" s="3"/>
      <s:c r="L54" s="3"/>
      <s:c r="M54" s="3"/>
      <s:c r="N54" s="3"/>
      <s:c r="O54" s="3"/>
      <s:c r="P54" s="3"/>
      <s:c r="Q54" s="3"/>
      <s:c r="R54" s="3"/>
      <s:c r="S54" s="22"/>
      <s:c r="T54" s="22"/>
      <s:c r="U54" s="22"/>
      <s:c r="V54" s="22"/>
      <s:c r="W54" s="22"/>
      <s:c r="X54" s="22"/>
      <s:c r="Y54" s="22"/>
      <s:c r="Z54" s="22"/>
      <s:c r="AA54" s="22">
        <s:v>9</s:v>
      </s:c>
      <s:c r="AB54" s="3">
        <s:v>9</s:v>
      </s:c>
      <s:c r="AC54" s="3">
        <s:v>300</s:v>
      </s:c>
      <s:c r="AD54" s="3">
        <s:f validation_="true">AB54*AC54</s:f>
        <s:v>2700</s:v>
      </s:c>
    </s:row>
    <s:row x14ac:dyDescent="0.25" r="55" spans="1:30">
      <s:c r="A55" s="24" t="s">
        <s:v>173</s:v>
      </s:c>
      <s:c r="B55" s="3" t="s">
        <s:v>132</s:v>
      </s:c>
      <s:c r="C55" s="3" t="s">
        <s:v>174</s:v>
      </s:c>
      <s:c r="D55" s="3"/>
      <s:c r="E55" s="3"/>
      <s:c r="F55" s="3"/>
      <s:c r="G55" s="3"/>
      <s:c r="H55" s="3"/>
      <s:c r="I55" s="3"/>
      <s:c r="J55" s="3"/>
      <s:c r="K55" s="3"/>
      <s:c r="L55" s="3"/>
      <s:c r="M55" s="3"/>
      <s:c r="N55" s="3"/>
      <s:c r="O55" s="3"/>
      <s:c r="P55" s="3"/>
      <s:c r="Q55" s="3"/>
      <s:c r="R55" s="3"/>
      <s:c r="S55" s="22"/>
      <s:c r="T55" s="22"/>
      <s:c r="U55" s="22"/>
      <s:c r="V55" s="22"/>
      <s:c r="W55" s="22"/>
      <s:c r="X55" s="22"/>
      <s:c r="Y55" s="22"/>
      <s:c r="Z55" s="22"/>
      <s:c r="AA55" s="22">
        <s:v>9</s:v>
      </s:c>
      <s:c r="AB55" s="3">
        <s:v>9</s:v>
      </s:c>
      <s:c r="AC55" s="3">
        <s:v>200</s:v>
      </s:c>
      <s:c r="AD55" s="3">
        <s:f validation_="true">AB55*AC55</s:f>
        <s:v>1800</s:v>
      </s:c>
    </s:row>
    <s:row x14ac:dyDescent="0.25" r="56" spans="1:30">
      <s:c r="A56" s="26" t="s">
        <s:v>183</s:v>
      </s:c>
      <s:c r="B56" s="27"/>
      <s:c r="C56" s="27"/>
      <s:c r="D56" s="27"/>
      <s:c r="E56" s="27"/>
      <s:c r="F56" s="27"/>
      <s:c r="G56" s="27"/>
      <s:c r="H56" s="28"/>
      <s:c r="I56" s="28"/>
      <s:c r="J56" s="28"/>
      <s:c r="K56" s="28"/>
      <s:c r="L56" s="28"/>
      <s:c r="M56" s="28"/>
      <s:c r="N56" s="28"/>
      <s:c r="O56" s="28"/>
      <s:c r="P56" s="28"/>
      <s:c r="Q56" s="28"/>
      <s:c r="R56" s="28"/>
      <s:c r="S56" s="29"/>
      <s:c r="T56" s="29"/>
      <s:c r="U56" s="29"/>
      <s:c r="V56" s="29"/>
      <s:c r="W56" s="29"/>
      <s:c r="X56" s="29"/>
      <s:c r="Y56" s="29"/>
      <s:c r="Z56" s="29"/>
      <s:c r="AA56" s="29"/>
      <s:c r="AB56" s="28"/>
      <s:c r="AC56" s="28"/>
      <s:c r="AD56" s="28">
        <s:f>SUM(AD5:AD55)</s:f>
        <s:v>1479029</s:v>
      </s:c>
    </s:row>
    <s:row x14ac:dyDescent="0.25" r="57" spans="1:30">
      <s:c r="A57" s="24" t="s">
        <s:v>97</s:v>
      </s:c>
      <s:c r="B57" s="2" t="s">
        <s:v>98</s:v>
      </s:c>
      <s:c r="C57" s="2" t="s">
        <s:v>37</s:v>
      </s:c>
      <s:c r="D57" s="2"/>
      <s:c r="E57" s="2"/>
      <s:c r="F57" s="2"/>
      <s:c r="G57" s="2"/>
      <s:c r="H57" s="2"/>
      <s:c r="I57" s="2">
        <s:v>1</s:v>
      </s:c>
      <s:c r="J57" s="2"/>
      <s:c r="K57" s="2"/>
      <s:c r="L57" s="2"/>
      <s:c r="M57" s="2"/>
      <s:c r="N57" s="2"/>
      <s:c r="O57" s="2"/>
      <s:c r="P57" s="2"/>
      <s:c r="Q57" s="2"/>
      <s:c r="R57" s="2"/>
      <s:c r="S57" s="22"/>
      <s:c r="T57" s="22"/>
      <s:c r="U57" s="22"/>
      <s:c r="V57" s="22"/>
      <s:c r="W57" s="22"/>
      <s:c r="X57" s="22"/>
      <s:c r="Y57" s="22"/>
      <s:c r="Z57" s="22"/>
      <s:c r="AA57" s="22"/>
      <s:c r="AB57" s="2">
        <s:v>1</s:v>
      </s:c>
      <s:c r="AC57" s="2">
        <s:v>32540</s:v>
      </s:c>
      <s:c r="AD57" s="2">
        <s:f validation_="true">AB57*AC57</s:f>
        <s:v>32540</s:v>
      </s:c>
    </s:row>
    <s:row x14ac:dyDescent="0.25" r="58" spans="1:30">
      <s:c r="A58" s="24" t="s">
        <s:v>100</s:v>
      </s:c>
      <s:c r="B58" s="2" t="s">
        <s:v>98</s:v>
      </s:c>
      <s:c r="C58" s="2" t="s">
        <s:v>37</s:v>
      </s:c>
      <s:c r="D58" s="2"/>
      <s:c r="E58" s="2"/>
      <s:c r="F58" s="2"/>
      <s:c r="G58" s="2"/>
      <s:c r="H58" s="2"/>
      <s:c r="I58" s="2"/>
      <s:c r="J58" s="2">
        <s:v>1</s:v>
      </s:c>
      <s:c r="K58" s="2"/>
      <s:c r="L58" s="2"/>
      <s:c r="M58" s="2"/>
      <s:c r="N58" s="2"/>
      <s:c r="O58" s="2"/>
      <s:c r="P58" s="2"/>
      <s:c r="Q58" s="2"/>
      <s:c r="R58" s="2"/>
      <s:c r="S58" s="22"/>
      <s:c r="T58" s="22"/>
      <s:c r="U58" s="22"/>
      <s:c r="V58" s="22"/>
      <s:c r="W58" s="22"/>
      <s:c r="X58" s="22"/>
      <s:c r="Y58" s="22"/>
      <s:c r="Z58" s="22"/>
      <s:c r="AA58" s="22"/>
      <s:c r="AB58" s="2">
        <s:v>1</s:v>
      </s:c>
      <s:c r="AC58" s="2">
        <s:v>32540</s:v>
      </s:c>
      <s:c r="AD58" s="2">
        <s:f validation_="true">AB58*AC58</s:f>
        <s:v>32540</s:v>
      </s:c>
    </s:row>
    <s:row x14ac:dyDescent="0.25" r="59" spans="1:30">
      <s:c r="A59" s="24" t="s">
        <s:v>103</s:v>
      </s:c>
      <s:c r="B59" s="2" t="s">
        <s:v>98</s:v>
      </s:c>
      <s:c r="C59" s="2" t="s">
        <s:v>37</s:v>
      </s:c>
      <s:c r="D59" s="2"/>
      <s:c r="E59" s="2"/>
      <s:c r="F59" s="2"/>
      <s:c r="G59" s="2"/>
      <s:c r="H59" s="2"/>
      <s:c r="I59" s="2"/>
      <s:c r="J59" s="2"/>
      <s:c r="K59" s="2">
        <s:v>1</s:v>
      </s:c>
      <s:c r="L59" s="2"/>
      <s:c r="M59" s="2"/>
      <s:c r="N59" s="2"/>
      <s:c r="O59" s="2"/>
      <s:c r="P59" s="2"/>
      <s:c r="Q59" s="2"/>
      <s:c r="R59" s="2"/>
      <s:c r="S59" s="22"/>
      <s:c r="T59" s="22"/>
      <s:c r="U59" s="22"/>
      <s:c r="V59" s="22"/>
      <s:c r="W59" s="22"/>
      <s:c r="X59" s="22"/>
      <s:c r="Y59" s="22"/>
      <s:c r="Z59" s="22"/>
      <s:c r="AA59" s="22"/>
      <s:c r="AB59" s="2">
        <s:v>1</s:v>
      </s:c>
      <s:c r="AC59" s="2">
        <s:v>8500</s:v>
      </s:c>
      <s:c r="AD59" s="2">
        <s:f validation_="true">AB59*AC59</s:f>
        <s:v>8500</s:v>
      </s:c>
    </s:row>
    <s:row x14ac:dyDescent="0.25" r="60" spans="1:30">
      <s:c r="A60" s="24" t="s">
        <s:v>105</s:v>
      </s:c>
      <s:c r="B60" s="2" t="s">
        <s:v>98</s:v>
      </s:c>
      <s:c r="C60" s="2" t="s">
        <s:v>37</s:v>
      </s:c>
      <s:c r="D60" s="2"/>
      <s:c r="E60" s="2"/>
      <s:c r="F60" s="2"/>
      <s:c r="G60" s="2"/>
      <s:c r="H60" s="2"/>
      <s:c r="I60" s="2"/>
      <s:c r="J60" s="2"/>
      <s:c r="K60" s="2"/>
      <s:c r="L60" s="2">
        <s:v>2</s:v>
      </s:c>
      <s:c r="M60" s="2"/>
      <s:c r="N60" s="2"/>
      <s:c r="O60" s="2"/>
      <s:c r="P60" s="2"/>
      <s:c r="Q60" s="2"/>
      <s:c r="R60" s="2"/>
      <s:c r="S60" s="22"/>
      <s:c r="T60" s="22"/>
      <s:c r="U60" s="22"/>
      <s:c r="V60" s="22"/>
      <s:c r="W60" s="22"/>
      <s:c r="X60" s="22"/>
      <s:c r="Y60" s="22"/>
      <s:c r="Z60" s="22"/>
      <s:c r="AA60" s="22"/>
      <s:c r="AB60" s="2">
        <s:v>2</s:v>
      </s:c>
      <s:c r="AC60" s="2">
        <s:v>3800</s:v>
      </s:c>
      <s:c r="AD60" s="2">
        <s:f validation_="true">AB60*AC60</s:f>
        <s:v>7600</s:v>
      </s:c>
    </s:row>
    <s:row x14ac:dyDescent="0.25" r="61" spans="1:30">
      <s:c r="A61" s="24" t="s">
        <s:v>107</s:v>
      </s:c>
      <s:c r="B61" s="2" t="s">
        <s:v>98</s:v>
      </s:c>
      <s:c r="C61" s="2" t="s">
        <s:v>37</s:v>
      </s:c>
      <s:c r="D61" s="2"/>
      <s:c r="E61" s="2"/>
      <s:c r="F61" s="2"/>
      <s:c r="G61" s="2"/>
      <s:c r="H61" s="2"/>
      <s:c r="I61" s="2"/>
      <s:c r="J61" s="2"/>
      <s:c r="K61" s="2"/>
      <s:c r="L61" s="2"/>
      <s:c r="M61" s="2">
        <s:v>1</s:v>
      </s:c>
      <s:c r="N61" s="2"/>
      <s:c r="O61" s="2"/>
      <s:c r="P61" s="2"/>
      <s:c r="Q61" s="2"/>
      <s:c r="R61" s="2"/>
      <s:c r="S61" s="22"/>
      <s:c r="T61" s="22"/>
      <s:c r="U61" s="22"/>
      <s:c r="V61" s="22"/>
      <s:c r="W61" s="22"/>
      <s:c r="X61" s="22"/>
      <s:c r="Y61" s="22"/>
      <s:c r="Z61" s="22"/>
      <s:c r="AA61" s="22"/>
      <s:c r="AB61" s="2">
        <s:v>1</s:v>
      </s:c>
      <s:c r="AC61" s="2">
        <s:v>3800</s:v>
      </s:c>
      <s:c r="AD61" s="2">
        <s:f validation_="true">AB61*AC61</s:f>
        <s:v>3800</s:v>
      </s:c>
    </s:row>
    <s:row x14ac:dyDescent="0.25" r="62" spans="1:30">
      <s:c r="A62" s="24" t="s">
        <s:v>109</s:v>
      </s:c>
      <s:c r="B62" s="2" t="s">
        <s:v>98</s:v>
      </s:c>
      <s:c r="C62" s="2" t="s">
        <s:v>37</s:v>
      </s:c>
      <s:c r="D62" s="2"/>
      <s:c r="E62" s="2"/>
      <s:c r="F62" s="2"/>
      <s:c r="G62" s="2"/>
      <s:c r="H62" s="2"/>
      <s:c r="I62" s="2"/>
      <s:c r="J62" s="2"/>
      <s:c r="K62" s="2"/>
      <s:c r="L62" s="2"/>
      <s:c r="M62" s="2"/>
      <s:c r="N62" s="2">
        <s:v>1</s:v>
      </s:c>
      <s:c r="O62" s="2"/>
      <s:c r="P62" s="2"/>
      <s:c r="Q62" s="2"/>
      <s:c r="R62" s="2"/>
      <s:c r="S62" s="22"/>
      <s:c r="T62" s="22"/>
      <s:c r="U62" s="22"/>
      <s:c r="V62" s="22"/>
      <s:c r="W62" s="22"/>
      <s:c r="X62" s="22"/>
      <s:c r="Y62" s="22"/>
      <s:c r="Z62" s="22"/>
      <s:c r="AA62" s="22"/>
      <s:c r="AB62" s="2">
        <s:v>1</s:v>
      </s:c>
      <s:c r="AC62" s="2">
        <s:v>3800</s:v>
      </s:c>
      <s:c r="AD62" s="2">
        <s:f validation_="true">AB62*AC62</s:f>
        <s:v>3800</s:v>
      </s:c>
    </s:row>
    <s:row x14ac:dyDescent="0.25" r="63" spans="1:30">
      <s:c r="A63" s="24" t="s">
        <s:v>111</s:v>
      </s:c>
      <s:c r="B63" s="2" t="s">
        <s:v>98</s:v>
      </s:c>
      <s:c r="C63" s="2" t="s">
        <s:v>37</s:v>
      </s:c>
      <s:c r="D63" s="2"/>
      <s:c r="E63" s="2"/>
      <s:c r="F63" s="2"/>
      <s:c r="G63" s="2"/>
      <s:c r="H63" s="2"/>
      <s:c r="I63" s="2"/>
      <s:c r="J63" s="2"/>
      <s:c r="K63" s="2"/>
      <s:c r="L63" s="2"/>
      <s:c r="M63" s="2"/>
      <s:c r="N63" s="2"/>
      <s:c r="O63" s="2">
        <s:v>1</s:v>
      </s:c>
      <s:c r="P63" s="2"/>
      <s:c r="Q63" s="2"/>
      <s:c r="R63" s="2"/>
      <s:c r="S63" s="22"/>
      <s:c r="T63" s="22"/>
      <s:c r="U63" s="22"/>
      <s:c r="V63" s="22"/>
      <s:c r="W63" s="22"/>
      <s:c r="X63" s="22"/>
      <s:c r="Y63" s="22"/>
      <s:c r="Z63" s="22"/>
      <s:c r="AA63" s="22"/>
      <s:c r="AB63" s="2">
        <s:v>1</s:v>
      </s:c>
      <s:c r="AC63" s="2">
        <s:v>3800</s:v>
      </s:c>
      <s:c r="AD63" s="2">
        <s:f validation_="true">AB63*AC63</s:f>
        <s:v>3800</s:v>
      </s:c>
    </s:row>
    <s:row x14ac:dyDescent="0.25" r="64" spans="1:30">
      <s:c r="A64" s="24" t="s">
        <s:v>113</s:v>
      </s:c>
      <s:c r="B64" s="2" t="s">
        <s:v>98</s:v>
      </s:c>
      <s:c r="C64" s="2" t="s">
        <s:v>37</s:v>
      </s:c>
      <s:c r="D64" s="2"/>
      <s:c r="E64" s="2"/>
      <s:c r="F64" s="2"/>
      <s:c r="G64" s="2"/>
      <s:c r="H64" s="2"/>
      <s:c r="I64" s="2"/>
      <s:c r="J64" s="2"/>
      <s:c r="K64" s="2"/>
      <s:c r="L64" s="2"/>
      <s:c r="M64" s="2"/>
      <s:c r="N64" s="2"/>
      <s:c r="O64" s="2"/>
      <s:c r="P64" s="2">
        <s:v>1</s:v>
      </s:c>
      <s:c r="Q64" s="2"/>
      <s:c r="R64" s="2"/>
      <s:c r="S64" s="22"/>
      <s:c r="T64" s="22"/>
      <s:c r="U64" s="22"/>
      <s:c r="V64" s="22"/>
      <s:c r="W64" s="22"/>
      <s:c r="X64" s="22"/>
      <s:c r="Y64" s="22"/>
      <s:c r="Z64" s="22"/>
      <s:c r="AA64" s="22"/>
      <s:c r="AB64" s="2">
        <s:v>1</s:v>
      </s:c>
      <s:c r="AC64" s="2">
        <s:v>3800</s:v>
      </s:c>
      <s:c r="AD64" s="2">
        <s:f validation_="true">AB64*AC64</s:f>
        <s:v>3800</s:v>
      </s:c>
    </s:row>
    <s:row x14ac:dyDescent="0.25" r="65" spans="1:30">
      <s:c r="A65" s="24" t="s">
        <s:v>116</s:v>
      </s:c>
      <s:c r="B65" s="2" t="s">
        <s:v>98</s:v>
      </s:c>
      <s:c r="C65" s="2" t="s">
        <s:v>37</s:v>
      </s:c>
      <s:c r="D65" s="2"/>
      <s:c r="E65" s="2"/>
      <s:c r="F65" s="2"/>
      <s:c r="G65" s="2"/>
      <s:c r="H65" s="2"/>
      <s:c r="I65" s="2"/>
      <s:c r="J65" s="2"/>
      <s:c r="K65" s="2"/>
      <s:c r="L65" s="2"/>
      <s:c r="M65" s="2"/>
      <s:c r="N65" s="2"/>
      <s:c r="O65" s="2"/>
      <s:c r="P65" s="2"/>
      <s:c r="Q65" s="2">
        <s:v>1</s:v>
      </s:c>
      <s:c r="R65" s="2"/>
      <s:c r="S65" s="22"/>
      <s:c r="T65" s="22"/>
      <s:c r="U65" s="22"/>
      <s:c r="V65" s="22"/>
      <s:c r="W65" s="22"/>
      <s:c r="X65" s="22"/>
      <s:c r="Y65" s="22"/>
      <s:c r="Z65" s="22"/>
      <s:c r="AA65" s="22"/>
      <s:c r="AB65" s="2">
        <s:v>1</s:v>
      </s:c>
      <s:c r="AC65" s="2">
        <s:v>4500</s:v>
      </s:c>
      <s:c r="AD65" s="2">
        <s:f validation_="true">AB65*AC65</s:f>
        <s:v>4500</s:v>
      </s:c>
    </s:row>
    <s:row x14ac:dyDescent="0.25" r="66" spans="1:30">
      <s:c r="A66" s="26" t="s">
        <s:v>184</s:v>
      </s:c>
      <s:c r="B66" s="27"/>
      <s:c r="C66" s="27"/>
      <s:c r="D66" s="27"/>
      <s:c r="E66" s="27"/>
      <s:c r="F66" s="27"/>
      <s:c r="G66" s="27"/>
      <s:c r="H66" s="28"/>
      <s:c r="I66" s="28"/>
      <s:c r="J66" s="28"/>
      <s:c r="K66" s="28"/>
      <s:c r="L66" s="28"/>
      <s:c r="M66" s="28"/>
      <s:c r="N66" s="28"/>
      <s:c r="O66" s="28"/>
      <s:c r="P66" s="28"/>
      <s:c r="Q66" s="28"/>
      <s:c r="R66" s="28"/>
      <s:c r="S66" s="29"/>
      <s:c r="T66" s="29"/>
      <s:c r="U66" s="29"/>
      <s:c r="V66" s="29"/>
      <s:c r="W66" s="29"/>
      <s:c r="X66" s="29"/>
      <s:c r="Y66" s="29"/>
      <s:c r="Z66" s="29"/>
      <s:c r="AA66" s="29"/>
      <s:c r="AB66" s="28"/>
      <s:c r="AC66" s="28"/>
      <s:c r="AD66" s="28">
        <s:f>SUM(AD65,AD64,AD63,AD62,AD61,AD60,AD59,AD58,AD57)</s:f>
        <s:v>100880</s:v>
      </s:c>
    </s:row>
    <s:row x14ac:dyDescent="0.25" r="67" spans="1:30" s="19" customFormat="1">
      <s:c r="A67" s="25"/>
      <s:c r="B67" s="11"/>
      <s:c r="C67" s="11"/>
      <s:c r="D67" s="11"/>
      <s:c r="E67" s="11"/>
      <s:c r="F67" s="11"/>
      <s:c r="G67" s="11"/>
      <s:c r="H67" s="3"/>
      <s:c r="I67" s="3"/>
      <s:c r="J67" s="3"/>
      <s:c r="K67" s="3"/>
      <s:c r="L67" s="3"/>
      <s:c r="M67" s="3"/>
      <s:c r="N67" s="3"/>
      <s:c r="O67" s="3"/>
      <s:c r="P67" s="3"/>
      <s:c r="Q67" s="3"/>
      <s:c r="R67" s="3"/>
      <s:c r="S67" s="22"/>
      <s:c r="T67" s="22"/>
      <s:c r="U67" s="22"/>
      <s:c r="V67" s="22"/>
      <s:c r="W67" s="22"/>
      <s:c r="X67" s="22"/>
      <s:c r="Y67" s="22"/>
      <s:c r="Z67" s="22"/>
      <s:c r="AA67" s="22"/>
      <s:c r="AB67" s="3"/>
      <s:c r="AC67" s="3"/>
      <s:c r="AD67" s="3"/>
    </s:row>
    <s:row x14ac:dyDescent="0.25" r="68" spans="1:30">
      <s:c r="A68" s="26" t="s">
        <s:v>185</s:v>
      </s:c>
      <s:c r="B68" s="27"/>
      <s:c r="C68" s="27"/>
      <s:c r="D68" s="27"/>
      <s:c r="E68" s="27"/>
      <s:c r="F68" s="27"/>
      <s:c r="G68" s="27"/>
      <s:c r="H68" s="28"/>
      <s:c r="I68" s="28"/>
      <s:c r="J68" s="28"/>
      <s:c r="K68" s="28"/>
      <s:c r="L68" s="28"/>
      <s:c r="M68" s="28"/>
      <s:c r="N68" s="28"/>
      <s:c r="O68" s="28"/>
      <s:c r="P68" s="28"/>
      <s:c r="Q68" s="28"/>
      <s:c r="R68" s="28"/>
      <s:c r="S68" s="29"/>
      <s:c r="T68" s="29"/>
      <s:c r="U68" s="29"/>
      <s:c r="V68" s="29"/>
      <s:c r="W68" s="29"/>
      <s:c r="X68" s="29"/>
      <s:c r="Y68" s="29"/>
      <s:c r="Z68" s="29"/>
      <s:c r="AA68" s="29"/>
      <s:c r="AB68" s="28"/>
      <s:c r="AC68" s="28"/>
      <s:c r="AD68" s="30">
        <s:f>AD56+AD66</s:f>
        <s:v>1579909</s:v>
      </s:c>
    </s:row>
    <s:row x14ac:dyDescent="0.25" r="69" spans="1:30">
      <s:c r="A69" s="12"/>
      <s:c r="B69" s="12"/>
      <s:c r="C69" s="12"/>
      <s:c r="D69" s="12"/>
      <s:c r="E69" s="12"/>
      <s:c r="F69" s="12"/>
      <s:c r="G69" s="12"/>
    </s:row>
    <s:row x14ac:dyDescent="0.25" r="70" spans="1:30">
      <s:c r="A70" s="12" t="s">
        <s:v>186</s:v>
      </s:c>
      <s:c r="B70" s="12" t="s">
        <s:v>187</s:v>
      </s:c>
      <s:c r="C70" s="12"/>
      <s:c r="D70" s="12"/>
      <s:c r="E70" s="12"/>
      <s:c r="F70" s="12" t="s">
        <s:v>188</s:v>
      </s:c>
      <s:c r="G70" s="12"/>
      <s:c r="S70"/>
      <s:c r="T70"/>
      <s:c r="U70"/>
    </s:row>
    <s:row x14ac:dyDescent="0.25" r="71" spans="1:30">
      <s:c r="A71" s="12" t="s">
        <s:v>189</s:v>
      </s:c>
      <s:c r="B71" s="12" t="s">
        <s:v>190</s:v>
      </s:c>
      <s:c r="C71" s="12"/>
      <s:c r="D71" s="12"/>
      <s:c r="E71" s="12"/>
      <s:c r="F71" s="12" t="s">
        <s:v>191</s:v>
      </s:c>
      <s:c r="G71" s="12"/>
      <s:c r="S71"/>
      <s:c r="T71"/>
      <s:c r="U71"/>
    </s:row>
    <s:row x14ac:dyDescent="0.25" r="72" spans="1:30">
      <s:c r="A72" s="12" t="s">
        <s:v>192</s:v>
      </s:c>
      <s:c r="B72" s="12"/>
      <s:c r="C72" s="12"/>
      <s:c r="D72" s="12"/>
      <s:c r="E72" s="12"/>
      <s:c r="F72" s="12"/>
      <s:c r="G72" s="12"/>
      <s:c r="S72"/>
      <s:c r="T72"/>
      <s:c r="U72"/>
    </s:row>
    <s:row x14ac:dyDescent="0.25" r="73" spans="1:30">
      <s:c r="A73" s="12"/>
      <s:c r="B73" s="12"/>
      <s:c r="C73" s="12"/>
      <s:c r="D73" s="12"/>
      <s:c r="E73" s="12"/>
      <s:c r="F73" s="12"/>
      <s:c r="G73" s="12"/>
    </s:row>
  </s:sheetData>
  <s:mergeCells count="3">
    <s:mergeCell ref="P2:Q2"/>
    <s:mergeCell ref="C2:H2"/>
    <s:mergeCell ref="I1:Q1"/>
  </s:mergeCells>
  <s:pageMargins left="0.75" right="0.75" top="1" bottom="1" header="0.5" footer="0.5"/>
</s:worksheet>
</file>

<file path=docProps/app.xml><?xml version="1.0" encoding="utf-8"?>
<ep:Properties xmlns:ep="http://schemas.openxmlformats.org/officeDocument/2006/extended-properties" xmlns:vt="http://schemas.openxmlformats.org/officeDocument/2006/docPropsVTypes">
  <ep:Application>Microsoft Excel</ep:Application>
  <ep:DocSecurity>0</ep:DocSecurity>
  <ep:ScaleCrop>false</ep:ScaleCrop>
  <ep:HeadingPairs>
    <vt:vector size="2" baseType="variant">
      <vt:variant>
        <vt:lpstr>Листы</vt:lpstr>
      </vt:variant>
      <vt:variant>
        <vt:i4>2</vt:i4>
      </vt:variant>
    </vt:vector>
  </ep:HeadingPairs>
  <ep:TitlesOfParts>
    <vt:vector size="2" baseType="lpstr">
      <vt:lpstr>Смета ОЗ</vt:lpstr>
      <vt:lpstr>04 Заявка</vt:lpstr>
    </vt:vector>
  </ep:TitlesOfParts>
  <ep:LinksUpToDate>false</ep:LinksUpToDate>
  <ep:SharedDoc>false</ep:SharedDoc>
  <ep:HyperlinksChanged>false</ep:HyperlinksChanged>
  <ep:AppVersion>15.0300</ep:AppVersion>
</ep:Properties>
</file>

<file path=docProps/core.xml><?xml version="1.0" encoding="utf-8"?>
<cp:coreProperties xmlns:dcterms="http://purl.org/dc/terms/" xmlns:dc="http://purl.org/dc/elements/1.1/" xmlns:xsi="http://www.w3.org/2001/XMLSchema-instance" xmlns:cp="http://schemas.openxmlformats.org/package/2006/metadata/core-properties">
  <dc:creator>openpyxl</dc:creator>
  <cp:lastModifiedBy>User</cp:lastModifiedBy>
  <dcterms:created xsi:type="dcterms:W3CDTF">2026-04-03T08:17:01Z</dcterms:created>
  <dcterms:modified xsi:type="dcterms:W3CDTF">2026-04-27T16:18:44Z</dcterms:modified>
</cp:coreProperties>
</file>