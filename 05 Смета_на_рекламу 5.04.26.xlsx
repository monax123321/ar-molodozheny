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МХАТ АТТЕСТАЦИОННАЯ РАБОТА\СМЕТЫ\после проверки\Новая папка\"/>
    </mc:Choice>
  </mc:AlternateContent>
  <bookViews>
    <workbookView xWindow="0" yWindow="0" windowWidth="28800" windowHeight="12315"/>
  </bookViews>
  <sheets>
    <sheet name="Смета рекламы" sheetId="1" r:id="rId1"/>
  </sheets>
  <calcPr calcId="152511"/>
</workbook>
</file>

<file path=xl/calcChain.xml><?xml version="1.0" encoding="utf-8"?>
<calcChain xmlns="http://schemas.openxmlformats.org/spreadsheetml/2006/main">
  <c r="D18" i="1" l="1"/>
</calcChain>
</file>

<file path=xl/sharedStrings.xml><?xml version="1.0" encoding="utf-8"?>
<sst xmlns="http://schemas.openxmlformats.org/spreadsheetml/2006/main" count="42" uniqueCount="34">
  <si>
    <t>УТВЕРЖДАЮ</t>
  </si>
  <si>
    <t>№ п/п</t>
  </si>
  <si>
    <t>Виды рекламной продукции</t>
  </si>
  <si>
    <t>РАСЧЕТ</t>
  </si>
  <si>
    <t>Стоимость (в руб.)</t>
  </si>
  <si>
    <t>В том числе по источникам финансирования</t>
  </si>
  <si>
    <t>Субсидия (бюджет)</t>
  </si>
  <si>
    <t>Внебюджет. Средства театра</t>
  </si>
  <si>
    <t>Спонсорские средства</t>
  </si>
  <si>
    <t>Целевые программы</t>
  </si>
  <si>
    <t>Прочие (гранты/пожертвования)</t>
  </si>
  <si>
    <t>Реклама на ТВ (федеральный канал, 5 выходов)</t>
  </si>
  <si>
    <t>5 х 30 сек х 15 000 руб. = 75 000 руб.</t>
  </si>
  <si>
    <t>Реклама на радио (Comedy Radio, 10 выходов)</t>
  </si>
  <si>
    <t>10 х 20 сек х 3 500 руб. = 35 000 руб.</t>
  </si>
  <si>
    <t>Показы + клики: 50 000 руб.</t>
  </si>
  <si>
    <t>Печатная продукция: афиши (А1, 500 шт.)</t>
  </si>
  <si>
    <t>500 х 150 руб. = 75 000 руб.</t>
  </si>
  <si>
    <t>Печатная продукция: программки (2000 шт.)</t>
  </si>
  <si>
    <t>2000 х 40 руб. = 80 000 руб.</t>
  </si>
  <si>
    <t>Наружная реклама (билборд 3х6 м, 2 шт., 1 месяц)</t>
  </si>
  <si>
    <t>2 х 25 000 руб. = 50 000 руб.</t>
  </si>
  <si>
    <t>Партнёрская коллаборация с кофейней (сувенирные стаканчики)</t>
  </si>
  <si>
    <t>Дизайн + печать 5000 стаканов: 30 000 руб.</t>
  </si>
  <si>
    <t>ИТОГО ПО СМЕТЕ:</t>
  </si>
  <si>
    <t>Начальник отдела рекламы</t>
  </si>
  <si>
    <t>"03" 12 2025г.</t>
  </si>
  <si>
    <t>Таргетированная реклама (VK, MAX)</t>
  </si>
  <si>
    <t>Х</t>
  </si>
  <si>
    <t xml:space="preserve">                                      Смета затрат на рекламу к спектаклю "Молодожёны"</t>
  </si>
  <si>
    <t xml:space="preserve"> ГБУК г. Москвы  "Театр На Малой Бронной"</t>
  </si>
  <si>
    <t>Директор Театра на Малой Бронной __________________ Яковлева  В.Ю.</t>
  </si>
  <si>
    <t>__________________ Сидорова М.М.</t>
  </si>
  <si>
    <t>ТАБЛИЦА № 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</si>
</sst>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sz val="11"/>
      <color rgb="FFFF0000"/>
      <name val="Calibri"/>
      <family val="2"/>
      <scheme val="minor"/>
    </font>
    <font>
      <b/>
      <sz val="12"/>
      <name val="Calibri"/>
      <family val="2"/>
      <charset val="204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/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4" borderId="0" xfId="0" applyFill="1"/>
    <xf numFmtId="0" fontId="5" fillId="4" borderId="0" xfId="0" applyFont="1" applyFill="1" applyAlignment="1"/>
    <xf numFmtId="0" fontId="0" fillId="4" borderId="0" xfId="0" applyFill="1" applyAlignment="1"/>
    <xf numFmtId="0" fontId="0" fillId="4" borderId="0" xfId="0" applyFill="1" applyAlignment="1">
      <alignment horizontal="left"/>
    </xf>
    <xf numFmtId="0" fontId="0" fillId="4" borderId="0" xfId="0" applyFill="1" applyAlignment="1">
      <alignment horizontal="right"/>
    </xf>
    <xf numFmtId="0" fontId="0" fillId="0" borderId="2" xfId="0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tabSelected="1" topLeftCell="A6" zoomScaleNormal="100" workbookViewId="0">
      <selection activeCell="G26" sqref="G26"/>
    </sheetView>
  </sheetViews>
  <sheetFormatPr defaultRowHeight="15" x14ac:dyDescent="0.25"/>
  <cols>
    <col min="1" max="1" width="14" customWidth="1"/>
    <col min="2" max="2" width="35" customWidth="1"/>
    <col min="3" max="3" width="29.140625" customWidth="1"/>
    <col min="4" max="5" width="14" customWidth="1"/>
    <col min="6" max="7" width="18" customWidth="1"/>
    <col min="8" max="8" width="15" customWidth="1"/>
    <col min="9" max="9" width="18" customWidth="1"/>
  </cols>
  <sheetData>
    <row r="1" spans="1:9" ht="18.75" x14ac:dyDescent="0.3">
      <c r="A1" s="10" t="s">
        <v>30</v>
      </c>
      <c r="B1" s="11"/>
      <c r="C1" s="11"/>
      <c r="D1" s="11"/>
      <c r="E1" s="11"/>
      <c r="F1" s="11"/>
      <c r="G1" s="11"/>
      <c r="H1" s="11"/>
      <c r="I1" s="11"/>
    </row>
    <row r="3" spans="1:9" x14ac:dyDescent="0.25">
      <c r="H3" s="8" t="s">
        <v>0</v>
      </c>
      <c r="I3" s="9"/>
    </row>
    <row r="4" spans="1:9" x14ac:dyDescent="0.25">
      <c r="A4" s="12" t="s">
        <v>31</v>
      </c>
      <c r="B4" s="9"/>
      <c r="C4" s="9"/>
      <c r="D4" s="9"/>
      <c r="E4" s="9"/>
      <c r="F4" s="9"/>
      <c r="G4" s="9"/>
      <c r="H4" s="9"/>
      <c r="I4" s="9"/>
    </row>
    <row r="5" spans="1:9" x14ac:dyDescent="0.25">
      <c r="H5" s="13" t="s">
        <v>26</v>
      </c>
      <c r="I5" s="9"/>
    </row>
    <row r="6" spans="1:9" x14ac:dyDescent="0.25">
      <c r="A6" s="16"/>
      <c r="B6" s="16"/>
      <c r="C6" s="16"/>
      <c r="D6" s="16"/>
      <c r="E6" s="16"/>
      <c r="F6" s="16"/>
      <c r="G6" s="16"/>
      <c r="H6" s="16"/>
      <c r="I6" s="16"/>
    </row>
    <row r="7" spans="1:9" ht="15.75" x14ac:dyDescent="0.25">
      <c r="A7" s="17" t="s">
        <v>29</v>
      </c>
      <c r="B7" s="18"/>
      <c r="C7" s="18"/>
      <c r="D7" s="18"/>
      <c r="E7" s="18"/>
      <c r="F7" s="19"/>
      <c r="G7" s="19"/>
      <c r="H7" s="19"/>
      <c r="I7" s="19"/>
    </row>
    <row r="8" spans="1:9" x14ac:dyDescent="0.25">
      <c r="A8" s="20" t="s">
        <v>33</v>
      </c>
      <c r="B8" s="20"/>
      <c r="C8" s="20"/>
      <c r="D8" s="20"/>
      <c r="E8" s="20"/>
      <c r="F8" s="20"/>
      <c r="G8" s="20"/>
      <c r="H8" s="20"/>
      <c r="I8" s="20"/>
    </row>
    <row r="9" spans="1:9" ht="30" x14ac:dyDescent="0.25">
      <c r="A9" s="2" t="s">
        <v>1</v>
      </c>
      <c r="B9" s="3" t="s">
        <v>2</v>
      </c>
      <c r="C9" s="3" t="s">
        <v>3</v>
      </c>
      <c r="D9" s="2" t="s">
        <v>4</v>
      </c>
      <c r="E9" s="14" t="s">
        <v>5</v>
      </c>
      <c r="F9" s="15"/>
      <c r="G9" s="15"/>
      <c r="H9" s="15"/>
      <c r="I9" s="21"/>
    </row>
    <row r="10" spans="1:9" ht="45" x14ac:dyDescent="0.25">
      <c r="A10" s="2"/>
      <c r="B10" s="3"/>
      <c r="C10" s="3"/>
      <c r="D10" s="2"/>
      <c r="E10" s="2" t="s">
        <v>6</v>
      </c>
      <c r="F10" s="2" t="s">
        <v>7</v>
      </c>
      <c r="G10" s="2" t="s">
        <v>8</v>
      </c>
      <c r="H10" s="2" t="s">
        <v>9</v>
      </c>
      <c r="I10" s="22" t="s">
        <v>10</v>
      </c>
    </row>
    <row r="11" spans="1:9" ht="30" x14ac:dyDescent="0.25">
      <c r="A11" s="4">
        <v>1</v>
      </c>
      <c r="B11" s="5" t="s">
        <v>11</v>
      </c>
      <c r="C11" s="5" t="s">
        <v>12</v>
      </c>
      <c r="D11" s="4">
        <v>97500</v>
      </c>
      <c r="E11" s="4" t="s">
        <v>28</v>
      </c>
      <c r="F11" s="4" t="s">
        <v>28</v>
      </c>
      <c r="G11" s="4" t="s">
        <v>28</v>
      </c>
      <c r="H11" s="4"/>
      <c r="I11" s="23"/>
    </row>
    <row r="12" spans="1:9" ht="30" x14ac:dyDescent="0.25">
      <c r="A12" s="4">
        <v>2</v>
      </c>
      <c r="B12" s="5" t="s">
        <v>13</v>
      </c>
      <c r="C12" s="5" t="s">
        <v>14</v>
      </c>
      <c r="D12" s="4">
        <v>45500</v>
      </c>
      <c r="E12" s="4"/>
      <c r="F12" s="4" t="s">
        <v>28</v>
      </c>
      <c r="G12" s="4"/>
      <c r="H12" s="4"/>
      <c r="I12" s="23"/>
    </row>
    <row r="13" spans="1:9" ht="30" x14ac:dyDescent="0.25">
      <c r="A13" s="4">
        <v>4</v>
      </c>
      <c r="B13" s="5" t="s">
        <v>27</v>
      </c>
      <c r="C13" s="5" t="s">
        <v>15</v>
      </c>
      <c r="D13" s="4">
        <v>65000</v>
      </c>
      <c r="E13" s="4"/>
      <c r="F13" s="4" t="s">
        <v>28</v>
      </c>
      <c r="G13" s="4"/>
      <c r="H13" s="4"/>
      <c r="I13" s="23"/>
    </row>
    <row r="14" spans="1:9" ht="30" x14ac:dyDescent="0.25">
      <c r="A14" s="4">
        <v>5</v>
      </c>
      <c r="B14" s="5" t="s">
        <v>16</v>
      </c>
      <c r="C14" s="5" t="s">
        <v>17</v>
      </c>
      <c r="D14" s="4">
        <v>97500</v>
      </c>
      <c r="E14" s="4" t="s">
        <v>28</v>
      </c>
      <c r="F14" s="4"/>
      <c r="G14" s="4"/>
      <c r="H14" s="4"/>
      <c r="I14" s="23"/>
    </row>
    <row r="15" spans="1:9" ht="30" x14ac:dyDescent="0.25">
      <c r="A15" s="4">
        <v>6</v>
      </c>
      <c r="B15" s="5" t="s">
        <v>18</v>
      </c>
      <c r="C15" s="5" t="s">
        <v>19</v>
      </c>
      <c r="D15" s="4">
        <v>104000</v>
      </c>
      <c r="E15" s="6"/>
      <c r="F15" s="4" t="s">
        <v>28</v>
      </c>
      <c r="G15" s="4"/>
      <c r="H15" s="4"/>
      <c r="I15" s="23"/>
    </row>
    <row r="16" spans="1:9" ht="30" x14ac:dyDescent="0.25">
      <c r="A16" s="4">
        <v>7</v>
      </c>
      <c r="B16" s="5" t="s">
        <v>20</v>
      </c>
      <c r="C16" s="5" t="s">
        <v>21</v>
      </c>
      <c r="D16" s="4">
        <v>65000</v>
      </c>
      <c r="E16" s="4"/>
      <c r="F16" s="4"/>
      <c r="G16" s="4" t="s">
        <v>28</v>
      </c>
      <c r="H16" s="4"/>
      <c r="I16" s="23"/>
    </row>
    <row r="17" spans="1:9" ht="30" x14ac:dyDescent="0.25">
      <c r="A17" s="4">
        <v>8</v>
      </c>
      <c r="B17" s="5" t="s">
        <v>22</v>
      </c>
      <c r="C17" s="5" t="s">
        <v>23</v>
      </c>
      <c r="D17" s="4">
        <v>39000</v>
      </c>
      <c r="E17" s="4"/>
      <c r="F17" s="4"/>
      <c r="G17" s="4" t="s">
        <v>28</v>
      </c>
      <c r="H17" s="4"/>
      <c r="I17" s="23"/>
    </row>
    <row r="18" spans="1:9" ht="30" x14ac:dyDescent="0.25">
      <c r="A18" s="2" t="s">
        <v>24</v>
      </c>
      <c r="B18" s="3"/>
      <c r="C18" s="3"/>
      <c r="D18" s="25">
        <f>SUM(D11:D17)</f>
        <v>513500</v>
      </c>
      <c r="E18" s="2"/>
      <c r="F18" s="7"/>
      <c r="G18" s="2"/>
      <c r="H18" s="26"/>
      <c r="I18" s="24"/>
    </row>
    <row r="19" spans="1:9" x14ac:dyDescent="0.25">
      <c r="A19" s="1" t="s">
        <v>25</v>
      </c>
      <c r="D19" t="s">
        <v>32</v>
      </c>
    </row>
  </sheetData>
  <mergeCells count="6">
    <mergeCell ref="H3:I3"/>
    <mergeCell ref="A1:I1"/>
    <mergeCell ref="A8:I8"/>
    <mergeCell ref="A4:I4"/>
    <mergeCell ref="H5:I5"/>
    <mergeCell ref="E9:I9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Смета рекламы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2026-04-03T10:03:00Z</dcterms:created>
  <dcterms:modified xsi:type="dcterms:W3CDTF">2026-04-27T15:56:33Z</dcterms:modified>
</cp:coreProperties>
</file>