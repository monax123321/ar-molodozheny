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МХАТ АТТЕСТАЦИОННАЯ РАБОТА\СМЕТЫ\после проверки\Новая папка\"/>
    </mc:Choice>
  </mc:AlternateContent>
  <bookViews>
    <workbookView xWindow="0" yWindow="0" windowWidth="28800" windowHeight="12315"/>
  </bookViews>
  <sheets>
    <sheet name="Сводная смета" sheetId="1" r:id="rId1"/>
  </sheets>
  <calcPr calcId="152511"/>
</workbook>
</file>

<file path=xl/calcChain.xml><?xml version="1.0" encoding="utf-8"?>
<calcChain xmlns="http://schemas.openxmlformats.org/spreadsheetml/2006/main">
  <c r="H19" i="1" l="1"/>
  <c r="H16" i="1" l="1"/>
  <c r="H15" i="1"/>
  <c r="H14" i="1"/>
  <c r="E13" i="1" l="1"/>
  <c r="H13" i="1" s="1"/>
</calcChain>
</file>

<file path=xl/sharedStrings.xml><?xml version="1.0" encoding="utf-8"?>
<sst xmlns="http://schemas.openxmlformats.org/spreadsheetml/2006/main" count="41" uniqueCount="34">
  <si>
    <t>УТВЕРЖДАЮ</t>
  </si>
  <si>
    <t>"______"____________ 20___г.</t>
  </si>
  <si>
    <t>Сводная смета затрат на спектакль "Молодожены"</t>
  </si>
  <si>
    <t>Ориентировочная (примерная)</t>
  </si>
  <si>
    <t>ТАБЛИЦА № 1</t>
  </si>
  <si>
    <t>№ п/п</t>
  </si>
  <si>
    <t>Направл. расходов</t>
  </si>
  <si>
    <t>Зарплата
(гонорары)</t>
  </si>
  <si>
    <t>Отчисл.
в фонды</t>
  </si>
  <si>
    <t>Стоимость
материалов</t>
  </si>
  <si>
    <t>Накладные
расходы</t>
  </si>
  <si>
    <t>Прочие
расходы</t>
  </si>
  <si>
    <t>Всего</t>
  </si>
  <si>
    <t>Субсидия</t>
  </si>
  <si>
    <t>Внебюджет.
средства</t>
  </si>
  <si>
    <t>Спонсорские
средства</t>
  </si>
  <si>
    <t>Целевые
программы</t>
  </si>
  <si>
    <t>Прочие
(гранты/
пожертвования)</t>
  </si>
  <si>
    <t>1</t>
  </si>
  <si>
    <t>Неовеществлённые затраты</t>
  </si>
  <si>
    <t>Х</t>
  </si>
  <si>
    <t>2</t>
  </si>
  <si>
    <t>Овеществлённые всего:</t>
  </si>
  <si>
    <t>- жесткие</t>
  </si>
  <si>
    <t>- мебель</t>
  </si>
  <si>
    <t>- костюмы</t>
  </si>
  <si>
    <t>Реклама</t>
  </si>
  <si>
    <t>Начальник планово-экономического отдела</t>
  </si>
  <si>
    <t>_______________Иванова И.И.</t>
  </si>
  <si>
    <t xml:space="preserve"> ГБУК г. Москвы  "Театр На Малой Бронной"</t>
  </si>
  <si>
    <t>Директор _________________ Яковлева В.Ю.</t>
  </si>
  <si>
    <r>
      <t xml:space="preserve">Творч.группа полн.состав: </t>
    </r>
    <r>
      <rPr>
        <b/>
        <sz val="11"/>
        <color theme="1"/>
        <rFont val="Calibri"/>
        <family val="2"/>
        <charset val="204"/>
        <scheme val="minor"/>
      </rPr>
      <t>Режиссёр-постановщик: Богомолов Константин
Художник-постановщик: Ломакина Лариса
Художник по свету: Виноградов Иван
Автор музыки (композитор): Сюткин Валерий
Хореограф (режиссёр по пластике): Николай Реутов</t>
    </r>
    <r>
      <rPr>
        <sz val="11"/>
        <color theme="1"/>
        <rFont val="Calibri"/>
        <family val="2"/>
        <charset val="204"/>
        <scheme val="minor"/>
      </rPr>
      <t xml:space="preserve">
</t>
    </r>
  </si>
  <si>
    <t>Всего: (п.1+п.2+п.3)</t>
  </si>
  <si>
    <t>Пропитка декораций огнзащитным составом 450р кв.м. х 143м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</si>
</sst>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</font>
    <font>
      <b/>
      <sz val="1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8"/>
      <name val="Calibri"/>
      <family val="2"/>
      <charset val="204"/>
    </font>
    <font>
      <sz val="18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6F0FF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4" fontId="0" fillId="0" borderId="0" xfId="0" applyNumberFormat="1"/>
    <xf numFmtId="4" fontId="3" fillId="2" borderId="1" xfId="0" applyNumberFormat="1" applyFont="1" applyFill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right" vertical="center"/>
    </xf>
    <xf numFmtId="4" fontId="0" fillId="0" borderId="1" xfId="0" applyNumberFormat="1" applyBorder="1"/>
    <xf numFmtId="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right" vertical="center"/>
    </xf>
    <xf numFmtId="4" fontId="0" fillId="0" borderId="0" xfId="0" applyNumberFormat="1" applyBorder="1"/>
    <xf numFmtId="4" fontId="0" fillId="0" borderId="0" xfId="0" applyNumberFormat="1" applyBorder="1" applyAlignment="1">
      <alignment horizontal="left" vertical="center"/>
    </xf>
    <xf numFmtId="4" fontId="0" fillId="0" borderId="2" xfId="0" applyNumberFormat="1" applyBorder="1"/>
    <xf numFmtId="4" fontId="0" fillId="0" borderId="3" xfId="0" applyNumberFormat="1" applyBorder="1"/>
    <xf numFmtId="4" fontId="4" fillId="2" borderId="1" xfId="0" applyNumberFormat="1" applyFont="1" applyFill="1" applyBorder="1" applyAlignment="1">
      <alignment horizontal="center" vertical="center" wrapText="1"/>
    </xf>
    <xf numFmtId="4" fontId="0" fillId="4" borderId="4" xfId="0" applyNumberFormat="1" applyFill="1" applyBorder="1"/>
    <xf numFmtId="4" fontId="0" fillId="4" borderId="0" xfId="0" applyNumberFormat="1" applyFill="1" applyBorder="1"/>
    <xf numFmtId="4" fontId="3" fillId="4" borderId="2" xfId="0" applyNumberFormat="1" applyFont="1" applyFill="1" applyBorder="1"/>
    <xf numFmtId="4" fontId="0" fillId="3" borderId="1" xfId="0" applyNumberFormat="1" applyFill="1" applyBorder="1" applyAlignment="1">
      <alignment horizontal="left" vertical="center"/>
    </xf>
    <xf numFmtId="0" fontId="0" fillId="5" borderId="0" xfId="0" applyFill="1"/>
    <xf numFmtId="4" fontId="5" fillId="3" borderId="1" xfId="0" applyNumberFormat="1" applyFont="1" applyFill="1" applyBorder="1" applyAlignment="1">
      <alignment horizontal="left" vertical="center"/>
    </xf>
    <xf numFmtId="4" fontId="5" fillId="0" borderId="1" xfId="0" applyNumberFormat="1" applyFont="1" applyBorder="1" applyAlignment="1">
      <alignment horizontal="right" vertical="center"/>
    </xf>
    <xf numFmtId="4" fontId="5" fillId="0" borderId="1" xfId="0" applyNumberFormat="1" applyFont="1" applyBorder="1"/>
    <xf numFmtId="4" fontId="5" fillId="0" borderId="1" xfId="0" applyNumberFormat="1" applyFont="1" applyBorder="1" applyAlignment="1">
      <alignment horizontal="center" vertical="center"/>
    </xf>
    <xf numFmtId="4" fontId="0" fillId="0" borderId="1" xfId="0" applyNumberFormat="1" applyBorder="1"/>
    <xf numFmtId="4" fontId="0" fillId="5" borderId="0" xfId="0" applyNumberFormat="1" applyFill="1"/>
    <xf numFmtId="4" fontId="0" fillId="5" borderId="0" xfId="0" applyNumberFormat="1" applyFill="1" applyAlignment="1">
      <alignment horizontal="left" vertical="center"/>
    </xf>
    <xf numFmtId="4" fontId="0" fillId="5" borderId="0" xfId="0" applyNumberFormat="1" applyFill="1" applyBorder="1" applyAlignment="1">
      <alignment horizontal="left" vertical="center"/>
    </xf>
    <xf numFmtId="4" fontId="0" fillId="5" borderId="0" xfId="0" applyNumberFormat="1" applyFill="1" applyBorder="1"/>
    <xf numFmtId="4" fontId="5" fillId="5" borderId="1" xfId="0" applyNumberFormat="1" applyFont="1" applyFill="1" applyBorder="1" applyAlignment="1">
      <alignment horizontal="center" vertical="center"/>
    </xf>
    <xf numFmtId="4" fontId="5" fillId="5" borderId="1" xfId="0" applyNumberFormat="1" applyFont="1" applyFill="1" applyBorder="1" applyAlignment="1">
      <alignment horizontal="center"/>
    </xf>
    <xf numFmtId="4" fontId="0" fillId="5" borderId="1" xfId="0" applyNumberFormat="1" applyFill="1" applyBorder="1"/>
    <xf numFmtId="4" fontId="0" fillId="0" borderId="1" xfId="0" applyNumberFormat="1" applyBorder="1" applyAlignment="1">
      <alignment horizontal="center"/>
    </xf>
    <xf numFmtId="4" fontId="0" fillId="0" borderId="1" xfId="0" applyNumberFormat="1" applyBorder="1"/>
    <xf numFmtId="4" fontId="0" fillId="6" borderId="2" xfId="0" applyNumberFormat="1" applyFill="1" applyBorder="1"/>
    <xf numFmtId="4" fontId="3" fillId="0" borderId="0" xfId="0" applyNumberFormat="1" applyFont="1" applyBorder="1" applyAlignment="1">
      <alignment horizontal="center" vertical="center"/>
    </xf>
    <xf numFmtId="4" fontId="0" fillId="0" borderId="0" xfId="0" applyNumberFormat="1" applyBorder="1"/>
    <xf numFmtId="4" fontId="6" fillId="4" borderId="5" xfId="0" applyNumberFormat="1" applyFont="1" applyFill="1" applyBorder="1" applyAlignment="1">
      <alignment horizontal="center" vertical="center"/>
    </xf>
    <xf numFmtId="4" fontId="7" fillId="4" borderId="3" xfId="0" applyNumberFormat="1" applyFont="1" applyFill="1" applyBorder="1"/>
    <xf numFmtId="4" fontId="0" fillId="5" borderId="1" xfId="0" applyNumberFormat="1" applyFill="1" applyBorder="1" applyAlignment="1">
      <alignment horizontal="center" vertical="center"/>
    </xf>
    <xf numFmtId="4" fontId="0" fillId="5" borderId="1" xfId="0" applyNumberFormat="1" applyFill="1" applyBorder="1"/>
    <xf numFmtId="4" fontId="0" fillId="0" borderId="0" xfId="0" applyNumberFormat="1" applyBorder="1" applyAlignment="1">
      <alignment horizontal="center" vertical="center"/>
    </xf>
    <xf numFmtId="4" fontId="0" fillId="0" borderId="1" xfId="0" applyNumberFormat="1" applyBorder="1"/>
    <xf numFmtId="4" fontId="2" fillId="0" borderId="6" xfId="0" applyNumberFormat="1" applyFont="1" applyBorder="1" applyAlignment="1">
      <alignment horizontal="left" wrapText="1"/>
    </xf>
    <xf numFmtId="4" fontId="2" fillId="0" borderId="7" xfId="0" applyNumberFormat="1" applyFont="1" applyBorder="1" applyAlignment="1">
      <alignment horizontal="left" wrapText="1"/>
    </xf>
    <xf numFmtId="4" fontId="2" fillId="0" borderId="8" xfId="0" applyNumberFormat="1" applyFont="1" applyBorder="1" applyAlignment="1">
      <alignment horizontal="left" wrapText="1"/>
    </xf>
    <xf numFmtId="4" fontId="0" fillId="3" borderId="1" xfId="0" applyNumberForma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tabSelected="1" zoomScaleNormal="100" workbookViewId="0">
      <selection activeCell="I25" sqref="I25"/>
    </sheetView>
  </sheetViews>
  <sheetFormatPr defaultRowHeight="15" x14ac:dyDescent="0.25"/>
  <cols>
    <col min="1" max="1" width="3" style="1" customWidth="1"/>
    <col min="2" max="2" width="35" style="1" customWidth="1"/>
    <col min="3" max="7" width="15" style="1" customWidth="1"/>
    <col min="8" max="9" width="18" style="1" customWidth="1"/>
    <col min="10" max="10" width="14.5703125" style="1" customWidth="1"/>
    <col min="11" max="11" width="14.140625" style="1" customWidth="1"/>
    <col min="12" max="12" width="11.140625" style="1" customWidth="1"/>
    <col min="13" max="13" width="18" style="1" customWidth="1"/>
  </cols>
  <sheetData>
    <row r="1" spans="1:15" x14ac:dyDescent="0.25">
      <c r="A1" s="15" t="s">
        <v>29</v>
      </c>
      <c r="B1" s="13"/>
      <c r="C1" s="14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5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5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33" t="s">
        <v>0</v>
      </c>
      <c r="M3" s="34"/>
    </row>
    <row r="4" spans="1:15" x14ac:dyDescent="0.25">
      <c r="A4" s="8"/>
      <c r="B4" s="8"/>
      <c r="C4" s="8"/>
      <c r="D4" s="8"/>
      <c r="E4" s="8"/>
      <c r="F4" s="8"/>
      <c r="G4" s="8"/>
      <c r="H4" s="9"/>
      <c r="I4" s="8"/>
      <c r="J4" s="8"/>
      <c r="K4" s="8"/>
      <c r="L4" s="8"/>
      <c r="M4" s="8"/>
    </row>
    <row r="5" spans="1:15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39" t="s">
        <v>1</v>
      </c>
      <c r="M5" s="34"/>
    </row>
    <row r="6" spans="1:15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 t="s">
        <v>30</v>
      </c>
      <c r="L6" s="8"/>
      <c r="M6" s="8"/>
    </row>
    <row r="7" spans="1:15" ht="23.25" x14ac:dyDescent="0.35">
      <c r="A7" s="8"/>
      <c r="B7" s="35" t="s">
        <v>2</v>
      </c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</row>
    <row r="8" spans="1:15" ht="30" customHeight="1" x14ac:dyDescent="0.25">
      <c r="A8" s="11"/>
      <c r="B8" s="5"/>
      <c r="C8" s="5"/>
      <c r="D8" s="5"/>
      <c r="E8" s="37" t="s">
        <v>3</v>
      </c>
      <c r="F8" s="38"/>
      <c r="G8" s="38"/>
      <c r="H8" s="5"/>
      <c r="I8" s="5"/>
      <c r="J8" s="5"/>
      <c r="K8" s="5"/>
      <c r="L8" s="5"/>
      <c r="M8" s="22" t="s">
        <v>4</v>
      </c>
    </row>
    <row r="9" spans="1:15" ht="93.75" customHeight="1" x14ac:dyDescent="0.25">
      <c r="A9" s="5"/>
      <c r="B9" s="41" t="s">
        <v>31</v>
      </c>
      <c r="C9" s="42"/>
      <c r="D9" s="42"/>
      <c r="E9" s="42"/>
      <c r="F9" s="42"/>
      <c r="G9" s="42"/>
      <c r="H9" s="42"/>
      <c r="I9" s="42"/>
      <c r="J9" s="42"/>
      <c r="K9" s="42"/>
      <c r="L9" s="42"/>
      <c r="M9" s="43"/>
      <c r="O9" s="17"/>
    </row>
    <row r="10" spans="1:15" x14ac:dyDescent="0.25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</row>
    <row r="11" spans="1:15" ht="45" x14ac:dyDescent="0.25">
      <c r="A11" s="2" t="s">
        <v>5</v>
      </c>
      <c r="B11" s="2" t="s">
        <v>6</v>
      </c>
      <c r="C11" s="12" t="s">
        <v>7</v>
      </c>
      <c r="D11" s="2" t="s">
        <v>8</v>
      </c>
      <c r="E11" s="12" t="s">
        <v>9</v>
      </c>
      <c r="F11" s="12" t="s">
        <v>10</v>
      </c>
      <c r="G11" s="12" t="s">
        <v>11</v>
      </c>
      <c r="H11" s="2" t="s">
        <v>12</v>
      </c>
      <c r="I11" s="2" t="s">
        <v>13</v>
      </c>
      <c r="J11" s="12" t="s">
        <v>14</v>
      </c>
      <c r="K11" s="12" t="s">
        <v>15</v>
      </c>
      <c r="L11" s="12" t="s">
        <v>16</v>
      </c>
      <c r="M11" s="12" t="s">
        <v>17</v>
      </c>
    </row>
    <row r="12" spans="1:15" x14ac:dyDescent="0.25">
      <c r="A12" s="3" t="s">
        <v>18</v>
      </c>
      <c r="B12" s="18" t="s">
        <v>19</v>
      </c>
      <c r="C12" s="19">
        <v>1970000</v>
      </c>
      <c r="D12" s="19">
        <v>594940</v>
      </c>
      <c r="E12" s="20"/>
      <c r="F12" s="21" t="s">
        <v>20</v>
      </c>
      <c r="G12" s="19">
        <v>36000</v>
      </c>
      <c r="H12" s="19">
        <v>2600940</v>
      </c>
      <c r="I12" s="21" t="s">
        <v>20</v>
      </c>
      <c r="J12" s="3"/>
      <c r="K12" s="4"/>
      <c r="L12" s="4"/>
      <c r="M12" s="4"/>
    </row>
    <row r="13" spans="1:15" x14ac:dyDescent="0.25">
      <c r="A13" s="3" t="s">
        <v>21</v>
      </c>
      <c r="B13" s="18" t="s">
        <v>22</v>
      </c>
      <c r="C13" s="27">
        <v>268923</v>
      </c>
      <c r="D13" s="27">
        <v>81215</v>
      </c>
      <c r="E13" s="27">
        <f>SUM(E16,E15,E14)</f>
        <v>1579909</v>
      </c>
      <c r="F13" s="27">
        <v>700275</v>
      </c>
      <c r="G13" s="28" t="s">
        <v>20</v>
      </c>
      <c r="H13" s="19">
        <f>SUM(C13,D13,E13,F13)</f>
        <v>2630322</v>
      </c>
      <c r="I13" s="21" t="s">
        <v>20</v>
      </c>
      <c r="J13" s="30"/>
      <c r="K13" s="5"/>
      <c r="L13" s="5"/>
      <c r="M13" s="5"/>
    </row>
    <row r="14" spans="1:15" x14ac:dyDescent="0.25">
      <c r="A14" s="5"/>
      <c r="B14" s="16" t="s">
        <v>23</v>
      </c>
      <c r="C14" s="5"/>
      <c r="D14" s="5"/>
      <c r="E14" s="4">
        <v>1453036</v>
      </c>
      <c r="F14" s="5"/>
      <c r="G14" s="5"/>
      <c r="H14" s="4">
        <f>SUM(C14,D14,E14,F14)</f>
        <v>1453036</v>
      </c>
      <c r="I14" s="3"/>
      <c r="J14" s="30"/>
      <c r="K14" s="5"/>
      <c r="L14" s="5"/>
      <c r="M14" s="5"/>
    </row>
    <row r="15" spans="1:15" x14ac:dyDescent="0.25">
      <c r="A15" s="5"/>
      <c r="B15" s="16" t="s">
        <v>24</v>
      </c>
      <c r="C15" s="5"/>
      <c r="D15" s="5"/>
      <c r="E15" s="4">
        <v>96380</v>
      </c>
      <c r="F15" s="5"/>
      <c r="G15" s="5"/>
      <c r="H15" s="4">
        <f>SUM(C15,D15,E15,F15)</f>
        <v>96380</v>
      </c>
      <c r="I15" s="3"/>
      <c r="J15" s="30"/>
      <c r="K15" s="5"/>
      <c r="L15" s="5"/>
      <c r="M15" s="5"/>
    </row>
    <row r="16" spans="1:15" x14ac:dyDescent="0.25">
      <c r="A16" s="5"/>
      <c r="B16" s="16" t="s">
        <v>25</v>
      </c>
      <c r="C16" s="3">
        <v>44699</v>
      </c>
      <c r="D16" s="3">
        <v>13499</v>
      </c>
      <c r="E16" s="4">
        <v>30493</v>
      </c>
      <c r="F16" s="3">
        <v>116395</v>
      </c>
      <c r="G16" s="3" t="s">
        <v>20</v>
      </c>
      <c r="H16" s="4">
        <f>SUM(C16,D16,E16,F16)</f>
        <v>205086</v>
      </c>
      <c r="I16" s="3"/>
      <c r="J16" s="30"/>
      <c r="K16" s="5"/>
      <c r="L16" s="5"/>
      <c r="M16" s="5"/>
    </row>
    <row r="17" spans="1:13" ht="30" x14ac:dyDescent="0.25">
      <c r="A17" s="31">
        <v>3</v>
      </c>
      <c r="B17" s="44" t="s">
        <v>33</v>
      </c>
      <c r="C17" s="3"/>
      <c r="D17" s="3"/>
      <c r="E17" s="4"/>
      <c r="F17" s="3"/>
      <c r="G17" s="3">
        <v>64350</v>
      </c>
      <c r="H17" s="4">
        <v>64350</v>
      </c>
      <c r="I17" s="3" t="s">
        <v>20</v>
      </c>
      <c r="J17" s="30"/>
      <c r="K17" s="31"/>
      <c r="L17" s="31"/>
      <c r="M17" s="31"/>
    </row>
    <row r="18" spans="1:13" x14ac:dyDescent="0.25">
      <c r="A18" s="31">
        <v>3</v>
      </c>
      <c r="B18" s="16" t="s">
        <v>26</v>
      </c>
      <c r="C18" s="5"/>
      <c r="D18" s="5"/>
      <c r="E18" s="4"/>
      <c r="F18" s="4"/>
      <c r="G18" s="4"/>
      <c r="H18" s="4">
        <v>513500</v>
      </c>
      <c r="I18" s="3"/>
      <c r="J18" s="30" t="s">
        <v>20</v>
      </c>
      <c r="K18" s="5"/>
      <c r="L18" s="5"/>
      <c r="M18" s="5"/>
    </row>
    <row r="19" spans="1:13" x14ac:dyDescent="0.25">
      <c r="A19" s="3">
        <v>4</v>
      </c>
      <c r="B19" s="6" t="s">
        <v>32</v>
      </c>
      <c r="C19" s="29"/>
      <c r="D19" s="29"/>
      <c r="E19" s="29"/>
      <c r="F19" s="29"/>
      <c r="G19" s="29"/>
      <c r="H19" s="7">
        <f>SUM(H13,H12,H18,H17)</f>
        <v>5809112</v>
      </c>
      <c r="I19" s="7"/>
      <c r="J19" s="5"/>
      <c r="K19" s="5"/>
      <c r="L19" s="5"/>
      <c r="M19" s="3" t="s">
        <v>20</v>
      </c>
    </row>
    <row r="20" spans="1:13" x14ac:dyDescent="0.25">
      <c r="A20" s="5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</row>
    <row r="21" spans="1:13" x14ac:dyDescent="0.25">
      <c r="A21" s="10"/>
      <c r="B21" s="25" t="s">
        <v>27</v>
      </c>
      <c r="C21" s="26"/>
      <c r="D21" s="8"/>
      <c r="E21" s="8"/>
      <c r="F21" s="8"/>
      <c r="G21" s="8"/>
      <c r="H21" s="9" t="s">
        <v>28</v>
      </c>
      <c r="I21" s="8"/>
      <c r="J21" s="8"/>
      <c r="K21" s="8"/>
      <c r="L21" s="8"/>
      <c r="M21" s="8"/>
    </row>
    <row r="22" spans="1:13" x14ac:dyDescent="0.25">
      <c r="A22" s="8"/>
      <c r="B22" s="24"/>
      <c r="C22" s="23"/>
    </row>
  </sheetData>
  <mergeCells count="6">
    <mergeCell ref="L3:M3"/>
    <mergeCell ref="B7:M7"/>
    <mergeCell ref="E8:G8"/>
    <mergeCell ref="L5:M5"/>
    <mergeCell ref="A10:M10"/>
    <mergeCell ref="B9:M9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Сводная смета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2026-04-03T12:29:55Z</dcterms:created>
  <dcterms:modified xsi:type="dcterms:W3CDTF">2026-04-27T16:47:47Z</dcterms:modified>
</cp:coreProperties>
</file>